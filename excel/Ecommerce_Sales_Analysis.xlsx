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22283725\Documents\sql\"/>
    </mc:Choice>
  </mc:AlternateContent>
  <xr:revisionPtr revIDLastSave="0" documentId="13_ncr:1_{468F16A5-50A8-44A1-8933-5B4AAE82F52B}" xr6:coauthVersionLast="47" xr6:coauthVersionMax="47" xr10:uidLastSave="{00000000-0000-0000-0000-000000000000}"/>
  <bookViews>
    <workbookView xWindow="-120" yWindow="-120" windowWidth="29040" windowHeight="15840" xr2:uid="{BD4E5480-8E2A-4AD9-B306-226170DA134C}"/>
  </bookViews>
  <sheets>
    <sheet name="Dashboard" sheetId="10" r:id="rId1"/>
    <sheet name="Sheet1" sheetId="11" state="hidden" r:id="rId2"/>
    <sheet name="Total Revenue" sheetId="3" r:id="rId3"/>
    <sheet name="Orders_AOV" sheetId="4" r:id="rId4"/>
    <sheet name="Top Products" sheetId="5" r:id="rId5"/>
    <sheet name="Top Customers" sheetId="6" r:id="rId6"/>
    <sheet name="Category" sheetId="7" r:id="rId7"/>
    <sheet name="Monthly Trend" sheetId="8" r:id="rId8"/>
    <sheet name="Repeat Customers" sheetId="9" r:id="rId9"/>
  </sheets>
  <definedNames>
    <definedName name="ExternalData_1" localSheetId="1" hidden="1">Sheet1!$A$3:$F$84</definedName>
  </definedNames>
  <calcPr calcId="191029"/>
  <pivotCaches>
    <pivotCache cacheId="0" r:id="rId10"/>
    <pivotCache cacheId="1" r:id="rId11"/>
    <pivotCache cacheId="2" r:id="rId12"/>
    <pivotCache cacheId="3" r:id="rId13"/>
    <pivotCache cacheId="5" r:id="rId14"/>
    <pivotCache cacheId="6" r:id="rId15"/>
    <pivotCache cacheId="9" r:id="rId16"/>
    <pivotCache cacheId="18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1d92e352-dd4f-420c-8405-56dac1a52be5" name="Customer" connection="Query - Customer"/>
          <x15:modelTable id="Order_items_f04ceeed-2941-465a-97ea-4d85c36afb91" name="Order_items" connection="Query - Order_items"/>
          <x15:modelTable id="Orders_d96ee6c0-72e6-4e25-b6cb-870a1d74c5f5" name="Orders" connection="Query - Orders"/>
          <x15:modelTable id="Products_fe37f84c-19b8-427b-ba59-8f9257437aaf" name="Products" connection="Query - Products"/>
        </x15:modelTables>
        <x15:modelRelationships>
          <x15:modelRelationship fromTable="Order_items" fromColumn="Order_id" toTable="Orders" toColumn="Order_id"/>
          <x15:modelRelationship fromTable="Order_items" fromColumn="Product_id" toTable="Products" toColumn="Product_id"/>
          <x15:modelRelationship fromTable="Orders" fromColumn="Customer_id" toTable="Customer" toColumn="Custom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Year)" columnId="Order_date (Year)" contentType="yea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04D529-CAB2-4DF9-8D27-9D964FDFED7B}" keepAlive="1" name="ModelConnection_ExternalData_1" description="Data Model" type="5" refreshedVersion="7" minRefreshableVersion="5" saveData="1">
    <dbPr connection="Data Model Connection" command="DRILLTHROUGH MAXROWS 1000 SELECT FROM [Model] WHERE ([Measures].[Sum of Total_price]) RETURN [$Order_items].[Order_item_id],[$Order_items].[Order_id],[$Order_items].[Product_id],[$Order_items].[Quantity],[$Order_items].[Price],[$Order_items].[Total_price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82FAC81D-2D15-4469-B29A-1E53FB4D142E}" name="Query - Customer" description="Connection to the 'Customer' query in the workbook." type="100" refreshedVersion="7" minRefreshableVersion="5">
    <extLst>
      <ext xmlns:x15="http://schemas.microsoft.com/office/spreadsheetml/2010/11/main" uri="{DE250136-89BD-433C-8126-D09CA5730AF9}">
        <x15:connection id="4f3a591f-1d1a-4ec2-ac92-e78957e585f8"/>
      </ext>
    </extLst>
  </connection>
  <connection id="3" xr16:uid="{2EE8362B-BDBD-4732-9920-5CDE2750A30D}" name="Query - Order_items" description="Connection to the 'Order_items' query in the workbook." type="100" refreshedVersion="7" minRefreshableVersion="5">
    <extLst>
      <ext xmlns:x15="http://schemas.microsoft.com/office/spreadsheetml/2010/11/main" uri="{DE250136-89BD-433C-8126-D09CA5730AF9}">
        <x15:connection id="529a9c51-72ec-4225-b854-59a06a1bb911"/>
      </ext>
    </extLst>
  </connection>
  <connection id="4" xr16:uid="{0914690A-DE9C-4772-9539-DEB8E2464174}" name="Query - Orders" description="Connection to the 'Orders' query in the workbook." type="100" refreshedVersion="7" minRefreshableVersion="5">
    <extLst>
      <ext xmlns:x15="http://schemas.microsoft.com/office/spreadsheetml/2010/11/main" uri="{DE250136-89BD-433C-8126-D09CA5730AF9}">
        <x15:connection id="039048a0-51e9-4bbc-90ad-f3e1a75c6472"/>
      </ext>
    </extLst>
  </connection>
  <connection id="5" xr16:uid="{9EE1A6E7-CC40-4329-9238-98C741E6DF8B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2b59a021-4947-427a-9c46-8e68ffc08482"/>
      </ext>
    </extLst>
  </connection>
  <connection id="6" xr16:uid="{B25767EE-3964-4C91-AE21-3C70F0EE45A3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<sst xmlns="http://schemas.openxmlformats.org/spreadsheetml/2006/main" count="98" uniqueCount="61">
  <si>
    <t>Thabo Mokoena</t>
  </si>
  <si>
    <t>Aisha Patel</t>
  </si>
  <si>
    <t>Johan van der Merwe</t>
  </si>
  <si>
    <t>Nomvula Dlamini</t>
  </si>
  <si>
    <t>Sipho Nkosi</t>
  </si>
  <si>
    <t>Lerato Mahlangu</t>
  </si>
  <si>
    <t>Pieter Botha</t>
  </si>
  <si>
    <t>Zanele Khumalo</t>
  </si>
  <si>
    <t>Ryan Naidoo</t>
  </si>
  <si>
    <t>Kagiso Sithole</t>
  </si>
  <si>
    <t>Naledi Molefe</t>
  </si>
  <si>
    <t>Farah Adams</t>
  </si>
  <si>
    <t>Bongani Zulu</t>
  </si>
  <si>
    <t>Chantelle Fischer</t>
  </si>
  <si>
    <t>Tumi Radebe</t>
  </si>
  <si>
    <t>Laptop Pro 15"</t>
  </si>
  <si>
    <t>Smartphone X</t>
  </si>
  <si>
    <t>Tablet 10"</t>
  </si>
  <si>
    <t>Grand Total</t>
  </si>
  <si>
    <t>Product name</t>
  </si>
  <si>
    <t>Top Buyers</t>
  </si>
  <si>
    <t>Accessories</t>
  </si>
  <si>
    <t>Electronics</t>
  </si>
  <si>
    <t>Furniture</t>
  </si>
  <si>
    <t>Jan</t>
  </si>
  <si>
    <t>Feb</t>
  </si>
  <si>
    <t>Mar</t>
  </si>
  <si>
    <t>Apr</t>
  </si>
  <si>
    <t>May</t>
  </si>
  <si>
    <t>Jun</t>
  </si>
  <si>
    <t>Jul</t>
  </si>
  <si>
    <t>Aug</t>
  </si>
  <si>
    <t>Month</t>
  </si>
  <si>
    <t>Revenue</t>
  </si>
  <si>
    <t>2026</t>
  </si>
  <si>
    <t>Customer</t>
  </si>
  <si>
    <t>Number of Orders</t>
  </si>
  <si>
    <t>Total Amount Spent</t>
  </si>
  <si>
    <t>Sales per item</t>
  </si>
  <si>
    <t>Top 3 Categories</t>
  </si>
  <si>
    <t>Money Spent per buyer</t>
  </si>
  <si>
    <t>Sales by product</t>
  </si>
  <si>
    <t>Total Revenue</t>
  </si>
  <si>
    <t>Average of Total Revenue</t>
  </si>
  <si>
    <t>BRIGHTLINE ELECTRONICS - SALES DASHBOARD</t>
  </si>
  <si>
    <t>Order_items[Order_item_id]</t>
  </si>
  <si>
    <t>Order_items[Order_id]</t>
  </si>
  <si>
    <t>Order_items[Product_id]</t>
  </si>
  <si>
    <t>Order_items[Quantity]</t>
  </si>
  <si>
    <t>Order_items[Price]</t>
  </si>
  <si>
    <t>Order_items[Total_price]</t>
  </si>
  <si>
    <t>Data returned for Total Revenue (First 1000 rows).</t>
  </si>
  <si>
    <t>Total Orders</t>
  </si>
  <si>
    <t>Avg Order Value</t>
  </si>
  <si>
    <t>Total Customers</t>
  </si>
  <si>
    <t>Gaming Monitor</t>
  </si>
  <si>
    <t>Standing Desk</t>
  </si>
  <si>
    <t>Bookcase Unit</t>
  </si>
  <si>
    <t>Office Chair</t>
  </si>
  <si>
    <t>4K Webcam</t>
  </si>
  <si>
    <t>Filing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</si>
</sst>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&quot;#,##0.00;[Red]\-&quot;R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8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[Ecommerce_Sales_Analysis.xlsx]Monthly Trend!PivotTable10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Trend'!$B$3:$B$12</c:f>
              <c:multiLvlStrCache>
                <c:ptCount val="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'Monthly Trend'!$C$3:$C$12</c:f>
              <c:numCache>
                <c:formatCode>General</c:formatCode>
                <c:ptCount val="8"/>
                <c:pt idx="0">
                  <c:v>76188</c:v>
                </c:pt>
                <c:pt idx="1">
                  <c:v>76087</c:v>
                </c:pt>
                <c:pt idx="2">
                  <c:v>46294</c:v>
                </c:pt>
                <c:pt idx="3">
                  <c:v>49689</c:v>
                </c:pt>
                <c:pt idx="4">
                  <c:v>72533</c:v>
                </c:pt>
                <c:pt idx="5">
                  <c:v>31595</c:v>
                </c:pt>
                <c:pt idx="6">
                  <c:v>61992</c:v>
                </c:pt>
                <c:pt idx="7">
                  <c:v>120927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6-4786-A392-A02916513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614831"/>
        <c:axId val="1814606095"/>
      </c:lineChart>
      <c:catAx>
        <c:axId val="1814614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06095"/>
        <c:crosses val="autoZero"/>
        <c:auto val="1"/>
        <c:lblAlgn val="ctr"/>
        <c:lblOffset val="100"/>
        <c:noMultiLvlLbl val="0"/>
      </c:catAx>
      <c:valAx>
        <c:axId val="181460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1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[Ecommerce_Sales_Analysis.xlsx]Top Products!PivotTable7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Top-Selling</a:t>
            </a:r>
            <a:r>
              <a:rPr lang="en-US" b="1" baseline="0"/>
              <a:t> Products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Products'!$B$5:$B$14</c:f>
              <c:strCache>
                <c:ptCount val="9"/>
                <c:pt idx="0">
                  <c:v>Smartphone X</c:v>
                </c:pt>
                <c:pt idx="1">
                  <c:v>Laptop Pro 15"</c:v>
                </c:pt>
                <c:pt idx="2">
                  <c:v>Tablet 10"</c:v>
                </c:pt>
                <c:pt idx="3">
                  <c:v>Gaming Monitor</c:v>
                </c:pt>
                <c:pt idx="4">
                  <c:v>Standing Desk</c:v>
                </c:pt>
                <c:pt idx="5">
                  <c:v>Bookcase Unit</c:v>
                </c:pt>
                <c:pt idx="6">
                  <c:v>Office Chair</c:v>
                </c:pt>
                <c:pt idx="7">
                  <c:v>4K Webcam</c:v>
                </c:pt>
                <c:pt idx="8">
                  <c:v>Filing Cabinet</c:v>
                </c:pt>
              </c:strCache>
            </c:strRef>
          </c:cat>
          <c:val>
            <c:numRef>
              <c:f>'Top Products'!$C$5:$C$14</c:f>
              <c:numCache>
                <c:formatCode>General</c:formatCode>
                <c:ptCount val="9"/>
                <c:pt idx="0">
                  <c:v>149988</c:v>
                </c:pt>
                <c:pt idx="1">
                  <c:v>132993</c:v>
                </c:pt>
                <c:pt idx="2">
                  <c:v>62993</c:v>
                </c:pt>
                <c:pt idx="3">
                  <c:v>48993</c:v>
                </c:pt>
                <c:pt idx="4">
                  <c:v>34993</c:v>
                </c:pt>
                <c:pt idx="5">
                  <c:v>26593</c:v>
                </c:pt>
                <c:pt idx="6">
                  <c:v>22491</c:v>
                </c:pt>
                <c:pt idx="7">
                  <c:v>17091</c:v>
                </c:pt>
                <c:pt idx="8">
                  <c:v>15393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8-4D0C-8AA9-033CC922D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284047"/>
        <c:axId val="2104284879"/>
      </c:barChart>
      <c:catAx>
        <c:axId val="2104284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284879"/>
        <c:crosses val="autoZero"/>
        <c:auto val="1"/>
        <c:lblAlgn val="ctr"/>
        <c:lblOffset val="100"/>
        <c:noMultiLvlLbl val="0"/>
      </c:catAx>
      <c:valAx>
        <c:axId val="210428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Revenue</a:t>
                </a:r>
                <a:r>
                  <a:rPr lang="en-US"/>
                  <a:t> </a:t>
                </a:r>
                <a:r>
                  <a:rPr lang="en-US" sz="1200" b="1"/>
                  <a:t>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28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[Ecommerce_Sales_Analysis.xlsx]Top Customers!PivotTable8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Customers'!$B$3:$B$18</c:f>
              <c:strCache>
                <c:ptCount val="15"/>
                <c:pt idx="0">
                  <c:v>Nomvula Dlamini</c:v>
                </c:pt>
                <c:pt idx="1">
                  <c:v>Thabo Mokoena</c:v>
                </c:pt>
                <c:pt idx="2">
                  <c:v>Johan van der Merwe</c:v>
                </c:pt>
                <c:pt idx="3">
                  <c:v>Chantelle Fischer</c:v>
                </c:pt>
                <c:pt idx="4">
                  <c:v>Bongani Zulu</c:v>
                </c:pt>
                <c:pt idx="5">
                  <c:v>Kagiso Sithole</c:v>
                </c:pt>
                <c:pt idx="6">
                  <c:v>Naledi Molefe</c:v>
                </c:pt>
                <c:pt idx="7">
                  <c:v>Aisha Patel</c:v>
                </c:pt>
                <c:pt idx="8">
                  <c:v>Pieter Botha</c:v>
                </c:pt>
                <c:pt idx="9">
                  <c:v>Ryan Naidoo</c:v>
                </c:pt>
                <c:pt idx="10">
                  <c:v>Lerato Mahlangu</c:v>
                </c:pt>
                <c:pt idx="11">
                  <c:v>Zanele Khumalo</c:v>
                </c:pt>
                <c:pt idx="12">
                  <c:v>Farah Adams</c:v>
                </c:pt>
                <c:pt idx="13">
                  <c:v>Tumi Radebe</c:v>
                </c:pt>
                <c:pt idx="14">
                  <c:v>Sipho Nkosi</c:v>
                </c:pt>
              </c:strCache>
            </c:strRef>
          </c:cat>
          <c:val>
            <c:numRef>
              <c:f>'Top Customers'!$C$3:$C$18</c:f>
              <c:numCache>
                <c:formatCode>General</c:formatCode>
                <c:ptCount val="15"/>
                <c:pt idx="0">
                  <c:v>95734</c:v>
                </c:pt>
                <c:pt idx="1">
                  <c:v>59293</c:v>
                </c:pt>
                <c:pt idx="2">
                  <c:v>51290</c:v>
                </c:pt>
                <c:pt idx="3">
                  <c:v>51192</c:v>
                </c:pt>
                <c:pt idx="4">
                  <c:v>40295</c:v>
                </c:pt>
                <c:pt idx="5">
                  <c:v>39445</c:v>
                </c:pt>
                <c:pt idx="6">
                  <c:v>37990</c:v>
                </c:pt>
                <c:pt idx="7">
                  <c:v>35795</c:v>
                </c:pt>
                <c:pt idx="8">
                  <c:v>34094</c:v>
                </c:pt>
                <c:pt idx="9">
                  <c:v>33545</c:v>
                </c:pt>
                <c:pt idx="10">
                  <c:v>25392</c:v>
                </c:pt>
                <c:pt idx="11">
                  <c:v>12998</c:v>
                </c:pt>
                <c:pt idx="12">
                  <c:v>11446</c:v>
                </c:pt>
                <c:pt idx="13">
                  <c:v>4998</c:v>
                </c:pt>
                <c:pt idx="14">
                  <c:v>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D-4152-B7FC-53D71660F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307759"/>
        <c:axId val="2104308591"/>
      </c:barChart>
      <c:catAx>
        <c:axId val="2104307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 </a:t>
                </a:r>
                <a:r>
                  <a:rPr lang="en-ZA" sz="1200" b="1"/>
                  <a:t>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08591"/>
        <c:crosses val="autoZero"/>
        <c:auto val="1"/>
        <c:lblAlgn val="ctr"/>
        <c:lblOffset val="100"/>
        <c:noMultiLvlLbl val="0"/>
      </c:catAx>
      <c:valAx>
        <c:axId val="21043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Revenue</a:t>
                </a:r>
                <a:r>
                  <a:rPr lang="en-ZA" baseline="0"/>
                  <a:t> </a:t>
                </a:r>
                <a:r>
                  <a:rPr lang="en-ZA" sz="1200" b="1" baseline="0"/>
                  <a:t>(R)</a:t>
                </a:r>
                <a:r>
                  <a:rPr lang="en-ZA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[Ecommerce_Sales_Analysis.xlsx]Category!PivotTable9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44444444444446"/>
              <c:y val="3.005904963361095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555555555555566E-2"/>
              <c:y val="7.7294699057856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555555555555566E-2"/>
              <c:y val="7.7294699057856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44444444444446"/>
              <c:y val="3.005904963361095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555555555555566E-2"/>
              <c:y val="7.7294699057856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44444444444446"/>
              <c:y val="3.005904963361095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Category!$C$2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AA-4E9B-AAE5-33B7A10206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AA-4E9B-AAE5-33B7A10206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AA-4E9B-AAE5-33B7A1020696}"/>
              </c:ext>
            </c:extLst>
          </c:dPt>
          <c:dLbls>
            <c:dLbl>
              <c:idx val="1"/>
              <c:layout>
                <c:manualLayout>
                  <c:x val="-5.5555555555555566E-2"/>
                  <c:y val="7.729469905785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AA-4E9B-AAE5-33B7A1020696}"/>
                </c:ext>
              </c:extLst>
            </c:dLbl>
            <c:dLbl>
              <c:idx val="2"/>
              <c:layout>
                <c:manualLayout>
                  <c:x val="-0.11944444444444446"/>
                  <c:y val="3.00590496336109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AA-4E9B-AAE5-33B7A102069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Category!$B$3:$B$6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Category!$C$3:$C$6</c:f>
              <c:numCache>
                <c:formatCode>General</c:formatCode>
                <c:ptCount val="3"/>
                <c:pt idx="0">
                  <c:v>412058</c:v>
                </c:pt>
                <c:pt idx="1">
                  <c:v>102769</c:v>
                </c:pt>
                <c:pt idx="2">
                  <c:v>20478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AA-4E9B-AAE5-33B7A1020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6591404502784"/>
          <c:y val="0.34426098693766921"/>
          <c:w val="0.19976754061366367"/>
          <c:h val="0.32045246139322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12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047486-68DD-40DC-89EA-615B26A78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190499</xdr:rowOff>
    </xdr:from>
    <xdr:to>
      <xdr:col>8</xdr:col>
      <xdr:colOff>0</xdr:colOff>
      <xdr:row>35</xdr:row>
      <xdr:rowOff>180974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50B359-3ED9-43A1-9EB1-45917C555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0</xdr:colOff>
      <xdr:row>50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47A7DE-483B-4D2B-B687-0ABDFA513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304800</xdr:colOff>
      <xdr:row>35</xdr:row>
      <xdr:rowOff>100012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14014D-2D2D-41AD-8F12-47862B95C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22283725" refreshedDate="46252.468003125003" backgroundQuery="1" createdVersion="7" refreshedVersion="7" minRefreshableVersion="3" recordCount="0" supportSubquery="1" supportAdvancedDrill="1" xr:uid="{CE11A42A-EE89-4C7F-B078-8AAD74C991F2}">
  <cacheSource type="external" connectionId="6"/>
  <cacheFields count="4">
    <cacheField name="[Orders].[Order_date].[Order_date]" caption="Order_date" numFmtId="0" hierarchy="12" level="1">
      <sharedItems containsSemiMixedTypes="0" containsNonDate="0" containsDate="1" containsString="0" minDate="2026-01-05T00:00:00" maxDate="2026-08-28T00:00:00" count="49">
        <d v="2026-01-05T00:00:00"/>
        <d v="2026-01-08T00:00:00"/>
        <d v="2026-01-12T00:00:00"/>
        <d v="2026-01-13T00:00:00"/>
        <d v="2026-01-18T00:00:00"/>
        <d v="2026-01-19T00:00:00"/>
        <d v="2026-02-01T00:00:00"/>
        <d v="2026-02-02T00:00:00"/>
        <d v="2026-02-03T00:00:00"/>
        <d v="2026-02-13T00:00:00"/>
        <d v="2026-02-15T00:00:00"/>
        <d v="2026-02-19T00:00:00"/>
        <d v="2026-02-20T00:00:00"/>
        <d v="2026-03-01T00:00:00"/>
        <d v="2026-03-15T00:00:00"/>
        <d v="2026-03-26T00:00:00"/>
        <d v="2026-04-02T00:00:00"/>
        <d v="2026-04-06T00:00:00"/>
        <d v="2026-04-10T00:00:00"/>
        <d v="2026-04-15T00:00:00"/>
        <d v="2026-04-23T00:00:00"/>
        <d v="2026-04-25T00:00:00"/>
        <d v="2026-05-01T00:00:00"/>
        <d v="2026-05-03T00:00:00"/>
        <d v="2026-05-05T00:00:00"/>
        <d v="2026-05-08T00:00:00"/>
        <d v="2026-05-17T00:00:00"/>
        <d v="2026-05-20T00:00:00"/>
        <d v="2026-05-23T00:00:00"/>
        <d v="2026-05-24T00:00:00"/>
        <d v="2026-05-26T00:00:00"/>
        <d v="2026-05-27T00:00:00"/>
        <d v="2026-06-04T00:00:00"/>
        <d v="2026-06-16T00:00:00"/>
        <d v="2026-06-19T00:00:00"/>
        <d v="2026-07-07T00:00:00"/>
        <d v="2026-07-14T00:00:00"/>
        <d v="2026-07-16T00:00:00"/>
        <d v="2026-07-24T00:00:00"/>
        <d v="2026-08-03T00:00:00"/>
        <d v="2026-08-04T00:00:00"/>
        <d v="2026-08-05T00:00:00"/>
        <d v="2026-08-07T00:00:00"/>
        <d v="2026-08-13T00:00:00"/>
        <d v="2026-08-17T00:00:00"/>
        <d v="2026-08-18T00:00:00"/>
        <d v="2026-08-19T00:00:00"/>
        <d v="2026-08-21T00:00:00"/>
        <d v="2026-08-27T00:00:00"/>
      </sharedItems>
    </cacheField>
    <cacheField name="[Orders].[Order_date (Month)].[Order_date (Month)]" caption="Order_date (Month)" numFmtId="0" hierarchy="14" level="1">
      <sharedItems count="8">
        <s v="Jan"/>
        <s v="Feb"/>
        <s v="Mar"/>
        <s v="Apr"/>
        <s v="May"/>
        <s v="Jun"/>
        <s v="Jul"/>
        <s v="Aug"/>
      </sharedItems>
    </cacheField>
    <cacheField name="[Measures].[Sum of Total_amount]" caption="Sum of Total_amount" numFmtId="0" hierarchy="29" level="32767"/>
    <cacheField name="[Orders].[Order_date (Year)].[Order_date (Year)]" caption="Order_date (Year)" numFmtId="0" hierarchy="15" level="1">
      <sharedItems count="1">
        <s v="2026"/>
      </sharedItems>
    </cacheField>
  </cacheFields>
  <cacheHierarchies count="31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Province]" caption="Province" attribute="1" defaultMemberUniqueName="[Customer].[Province].[All]" allUniqueName="[Customer].[Province].[All]" dimensionUniqueName="[Customer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Total_amount]" caption="Total_amount" attribute="1" defaultMemberUniqueName="[Orders].[Total_amount].[All]" allUniqueName="[Orders].[Total_amount].[All]" dimensionUniqueName="[Orders]" displayFolder="" count="0" memberValueDatatype="5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3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Customer]" caption="__XL_Count Customer" measure="1" displayFolder="" measureGroup="Customer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amount]" caption="Sum of Total_amoun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_amount]" caption="Average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" caption="Customer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22283725" refreshedDate="46252.475161689814" backgroundQuery="1" createdVersion="7" refreshedVersion="7" minRefreshableVersion="3" recordCount="0" supportSubquery="1" supportAdvancedDrill="1" xr:uid="{93E75B37-F6B3-459B-B154-337E243CEA74}">
  <cacheSource type="external" connectionId="6"/>
  <cacheFields count="3">
    <cacheField name="[Customer].[Customer_Name].[Customer_Name]" caption="Customer_Name" numFmtId="0" hierarchy="1" level="1">
      <sharedItems count="13">
        <s v="Aisha Patel"/>
        <s v="Bongani Zulu"/>
        <s v="Chantelle Fischer"/>
        <s v="Farah Adams"/>
        <s v="Johan van der Merwe"/>
        <s v="Kagiso Sithole"/>
        <s v="Lerato Mahlangu"/>
        <s v="Naledi Molefe"/>
        <s v="Nomvula Dlamini"/>
        <s v="Pieter Botha"/>
        <s v="Ryan Naidoo"/>
        <s v="Thabo Mokoena"/>
        <s v="Tumi Radebe"/>
      </sharedItems>
    </cacheField>
    <cacheField name="[Measures].[Count of Order_id]" caption="Count of Order_id" numFmtId="0" hierarchy="28" level="32767"/>
    <cacheField name="[Measures].[Sum of Total_amount]" caption="Sum of Total_amount" numFmtId="0" hierarchy="29" level="32767"/>
  </cacheFields>
  <cacheHierarchies count="31">
    <cacheHierarchy uniqueName="[Customer].[Customer_id]" caption="Customer_id" attribute="1" defaultMemberUniqueName="[Customer].[Customer_id].[All]" allUniqueName="[Customer].[Customer_id].[All]" dimensionUniqueName="[Customer]" displayFolder="" count="2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ity]" caption="City" attribute="1" defaultMemberUniqueName="[Customer].[City].[All]" allUniqueName="[Customer].[City].[All]" dimensionUniqueName="[Customer]" displayFolder="" count="2" memberValueDatatype="130" unbalanced="0"/>
    <cacheHierarchy uniqueName="[Customer].[Province]" caption="Province" attribute="1" defaultMemberUniqueName="[Customer].[Province].[All]" allUniqueName="[Customer].[Province].[All]" dimensionUniqueName="[Customer]" displayFolder="" count="2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2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2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2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2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2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2" memberValueDatatype="5" unbalanced="0"/>
    <cacheHierarchy uniqueName="[Orders].[Order_id]" caption="Order_id" attribute="1" defaultMemberUniqueName="[Orders].[Order_id].[All]" allUniqueName="[Orders].[Order_id].[All]" dimensionUniqueName="[Orders]" displayFolder="" count="2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2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/>
    <cacheHierarchy uniqueName="[Orders].[Total_amount]" caption="Total_amount" attribute="1" defaultMemberUniqueName="[Orders].[Total_amount].[All]" allUniqueName="[Orders].[Total_amount].[All]" dimensionUniqueName="[Orders]" displayFolder="" count="2" memberValueDatatype="5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2" memberValueDatatype="5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2" memberValueDatatype="20" unbalanced="0" hidden="1"/>
    <cacheHierarchy uniqueName="[Measures].[__XL_Count Customer]" caption="__XL_Count Customer" measure="1" displayFolder="" measureGroup="Customer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amount]" caption="Sum of Total_amoun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_amount]" caption="Average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" caption="Customer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22283725" refreshedDate="46252.47580659722" backgroundQuery="1" createdVersion="7" refreshedVersion="7" minRefreshableVersion="3" recordCount="0" supportSubquery="1" supportAdvancedDrill="1" xr:uid="{016D0E98-FAEA-44ED-BB30-CB8FCE153EE3}">
  <cacheSource type="external" connectionId="6"/>
  <cacheFields count="2">
    <cacheField name="[Products].[Category].[Category]" caption="Category" numFmtId="0" hierarchy="18" level="1">
      <sharedItems count="3">
        <s v="Accessories"/>
        <s v="Electronics"/>
        <s v="Furniture"/>
      </sharedItems>
    </cacheField>
    <cacheField name="[Measures].[Sum of Total_price]" caption="Sum of Total_price" numFmtId="0" hierarchy="26" level="32767"/>
  </cacheFields>
  <cacheHierarchies count="31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Province]" caption="Province" attribute="1" defaultMemberUniqueName="[Customer].[Province].[All]" allUniqueName="[Customer].[Province].[All]" dimensionUniqueName="[Customer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Total_amount]" caption="Total_amount" attribute="1" defaultMemberUniqueName="[Orders].[Total_amount].[All]" allUniqueName="[Orders].[Total_amount].[All]" dimensionUniqueName="[Orders]" displayFolder="" count="0" memberValueDatatype="5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Customer]" caption="__XL_Count Customer" measure="1" displayFolder="" measureGroup="Customer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amount]" caption="Sum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_amount]" caption="Average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" caption="Customer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22283725" refreshedDate="46252.476513657406" backgroundQuery="1" createdVersion="7" refreshedVersion="7" minRefreshableVersion="3" recordCount="0" supportSubquery="1" supportAdvancedDrill="1" xr:uid="{C6423E8D-0018-456E-A0EB-C143C4DEE4DE}">
  <cacheSource type="external" connectionId="6"/>
  <cacheFields count="2">
    <cacheField name="[Customer].[Customer_Name].[Customer_Name]" caption="Customer_Name" numFmtId="0" hierarchy="1" level="1">
      <sharedItems count="15">
        <s v="Aisha Patel"/>
        <s v="Bongani Zulu"/>
        <s v="Chantelle Fischer"/>
        <s v="Farah Adams"/>
        <s v="Johan van der Merwe"/>
        <s v="Kagiso Sithole"/>
        <s v="Lerato Mahlangu"/>
        <s v="Naledi Molefe"/>
        <s v="Nomvula Dlamini"/>
        <s v="Pieter Botha"/>
        <s v="Ryan Naidoo"/>
        <s v="Sipho Nkosi"/>
        <s v="Thabo Mokoena"/>
        <s v="Tumi Radebe"/>
        <s v="Zanele Khumalo"/>
      </sharedItems>
    </cacheField>
    <cacheField name="[Measures].[Sum of Total_price]" caption="Sum of Total_price" numFmtId="0" hierarchy="26" level="32767"/>
  </cacheFields>
  <cacheHierarchies count="31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Province]" caption="Province" attribute="1" defaultMemberUniqueName="[Customer].[Province].[All]" allUniqueName="[Customer].[Province].[All]" dimensionUniqueName="[Customer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Total_amount]" caption="Total_amount" attribute="1" defaultMemberUniqueName="[Orders].[Total_amount].[All]" allUniqueName="[Orders].[Total_amount].[All]" dimensionUniqueName="[Orders]" displayFolder="" count="0" memberValueDatatype="5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Customer]" caption="__XL_Count Customer" measure="1" displayFolder="" measureGroup="Customer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amount]" caption="Sum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_amount]" caption="Average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" caption="Customer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22283725" refreshedDate="46252.477895601849" backgroundQuery="1" createdVersion="7" refreshedVersion="7" minRefreshableVersion="3" recordCount="0" supportSubquery="1" supportAdvancedDrill="1" xr:uid="{E5B0686F-7307-4F2D-88FA-58B1B5B0B6EB}">
  <cacheSource type="external" connectionId="6"/>
  <cacheFields count="1">
    <cacheField name="[Measures].[Sum of Total_price]" caption="Sum of Total_price" numFmtId="0" hierarchy="26" level="32767"/>
  </cacheFields>
  <cacheHierarchies count="31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Province]" caption="Province" attribute="1" defaultMemberUniqueName="[Customer].[Province].[All]" allUniqueName="[Customer].[Province].[All]" dimensionUniqueName="[Customer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Total_amount]" caption="Total_amount" attribute="1" defaultMemberUniqueName="[Orders].[Total_amount].[All]" allUniqueName="[Orders].[Total_amount].[All]" dimensionUniqueName="[Orders]" displayFolder="" count="0" memberValueDatatype="5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Customer]" caption="__XL_Count Customer" measure="1" displayFolder="" measureGroup="Customer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amount]" caption="Sum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_amount]" caption="Average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" caption="Customer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22283725" refreshedDate="46252.478007523147" backgroundQuery="1" createdVersion="7" refreshedVersion="7" minRefreshableVersion="3" recordCount="0" supportSubquery="1" supportAdvancedDrill="1" xr:uid="{4F18AAA4-FC6B-4A93-A2B2-329A53612939}">
  <cacheSource type="external" connectionId="6"/>
  <cacheFields count="2">
    <cacheField name="[Measures].[Count of Order_id]" caption="Count of Order_id" numFmtId="0" hierarchy="28" level="32767"/>
    <cacheField name="[Measures].[Average of Total_amount]" caption="Average of Total_amount" numFmtId="0" hierarchy="30" level="32767"/>
  </cacheFields>
  <cacheHierarchies count="31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Province]" caption="Province" attribute="1" defaultMemberUniqueName="[Customer].[Province].[All]" allUniqueName="[Customer].[Province].[All]" dimensionUniqueName="[Customer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Total_amount]" caption="Total_amount" attribute="1" defaultMemberUniqueName="[Orders].[Total_amount].[All]" allUniqueName="[Orders].[Total_amount].[All]" dimensionUniqueName="[Orders]" displayFolder="" count="0" memberValueDatatype="5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Customer]" caption="__XL_Count Customer" measure="1" displayFolder="" measureGroup="Customer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amount]" caption="Sum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_amount]" caption="Average of Total_amoun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" caption="Customer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22283725" refreshedDate="46253.560250115741" backgroundQuery="1" createdVersion="7" refreshedVersion="7" minRefreshableVersion="3" recordCount="0" supportSubquery="1" supportAdvancedDrill="1" xr:uid="{4309E0D0-ECF9-4F26-AEDE-171C743E34DD}">
  <cacheSource type="external" connectionId="6"/>
  <cacheFields count="2">
    <cacheField name="[Products].[Product_name].[Product_name]" caption="Product_name" numFmtId="0" hierarchy="17" level="1">
      <sharedItems count="9">
        <s v="4K Webcam"/>
        <s v="Bookcase Unit"/>
        <s v="Filing Cabinet"/>
        <s v="Gaming Monitor"/>
        <s v="Laptop Pro 15&quot;"/>
        <s v="Office Chair"/>
        <s v="Smartphone X"/>
        <s v="Standing Desk"/>
        <s v="Tablet 10&quot;"/>
      </sharedItems>
    </cacheField>
    <cacheField name="[Measures].[Sum of Total_price]" caption="Sum of Total_price" numFmtId="0" hierarchy="26" level="32767"/>
  </cacheFields>
  <cacheHierarchies count="31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Province]" caption="Province" attribute="1" defaultMemberUniqueName="[Customer].[Province].[All]" allUniqueName="[Customer].[Province].[All]" dimensionUniqueName="[Customer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Total_amount]" caption="Total_amount" attribute="1" defaultMemberUniqueName="[Orders].[Total_amount].[All]" allUniqueName="[Orders].[Total_amount].[All]" dimensionUniqueName="[Orders]" displayFolder="" count="0" memberValueDatatype="5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Customer]" caption="__XL_Count Customer" measure="1" displayFolder="" measureGroup="Customer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amount]" caption="Sum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_amount]" caption="Average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" caption="Customer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22283725" refreshedDate="46252.476513657406" backgroundQuery="1" createdVersion="7" refreshedVersion="7" minRefreshableVersion="3" recordCount="0" supportSubquery="1" supportAdvancedDrill="1" xr:uid="{E06A49B7-2D3F-49EF-A5C6-8F61E693C64D}">
  <cacheSource type="external" connectionId="6"/>
  <cacheFields count="2">
    <cacheField name="[Customer].[Customer_Name].[Customer_Name]" caption="Customer_Name" numFmtId="0" hierarchy="1" level="1">
      <sharedItems count="15">
        <s v="Aisha Patel"/>
        <s v="Bongani Zulu"/>
        <s v="Chantelle Fischer"/>
        <s v="Farah Adams"/>
        <s v="Johan van der Merwe"/>
        <s v="Kagiso Sithole"/>
        <s v="Lerato Mahlangu"/>
        <s v="Naledi Molefe"/>
        <s v="Nomvula Dlamini"/>
        <s v="Pieter Botha"/>
        <s v="Ryan Naidoo"/>
        <s v="Sipho Nkosi"/>
        <s v="Thabo Mokoena"/>
        <s v="Tumi Radebe"/>
        <s v="Zanele Khumalo"/>
      </sharedItems>
    </cacheField>
    <cacheField name="[Measures].[Sum of Total_price]" caption="Sum of Total_price" numFmtId="0" hierarchy="26" level="32767"/>
  </cacheFields>
  <cacheHierarchies count="31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Province]" caption="Province" attribute="1" defaultMemberUniqueName="[Customer].[Province].[All]" allUniqueName="[Customer].[Province].[All]" dimensionUniqueName="[Customer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]" caption="Price" attribute="1" defaultMemberUniqueName="[Order_items].[Price].[All]" allUniqueName="[Order_items].[Price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Total_amount]" caption="Total_amount" attribute="1" defaultMemberUniqueName="[Orders].[Total_amount].[All]" allUniqueName="[Orders].[Total_amount].[All]" dimensionUniqueName="[Orders]" displayFolder="" count="0" memberValueDatatype="5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Customer]" caption="__XL_Count Customer" measure="1" displayFolder="" measureGroup="Customer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amount]" caption="Sum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_amount]" caption="Average of Total_amount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</dimensions>
  <measureGroups count="4">
    <measureGroup name="Customer" caption="Customer"/>
    <measureGroup name="Order_items" caption="Order_items"/>
    <measureGroup name="Orders" caption="Orders"/>
    <measureGroup name="Products" caption="Products"/>
  </measureGroups>
  <maps count="8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0CD97-E5F5-46C8-AA7F-440986B09AC9}" name="PivotTable9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Top Buyers">
  <location ref="J37:K53" firstHeaderRow="1" firstDataRow="1" firstDataCol="1"/>
  <pivotFields count="2"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6">
    <i>
      <x v="8"/>
    </i>
    <i>
      <x v="12"/>
    </i>
    <i>
      <x v="4"/>
    </i>
    <i>
      <x v="2"/>
    </i>
    <i>
      <x v="1"/>
    </i>
    <i>
      <x v="5"/>
    </i>
    <i>
      <x v="7"/>
    </i>
    <i>
      <x/>
    </i>
    <i>
      <x v="9"/>
    </i>
    <i>
      <x v="10"/>
    </i>
    <i>
      <x v="6"/>
    </i>
    <i>
      <x v="14"/>
    </i>
    <i>
      <x v="3"/>
    </i>
    <i>
      <x v="13"/>
    </i>
    <i>
      <x v="11"/>
    </i>
    <i t="grand">
      <x/>
    </i>
  </rowItems>
  <colItems count="1">
    <i/>
  </colItems>
  <dataFields count="1">
    <dataField name="Money Spent per buyer" fld="1" baseField="0" baseItem="8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oney Spent per buy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9AB67-3466-49D9-A1F2-CA4736A4541D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Revenue" fld="0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 caption="Count of Order_id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8D1FE-0ACC-49B8-B897-C06996E477EC}" name="PivotTable6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showHeaders="0" outline="1" outlineData="1" multipleFieldFilters="0">
  <location ref="A1:B2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Number of Orders" fld="0" subtotal="count" baseField="0" baseItem="1"/>
    <dataField name="Average of Total Revenue" fld="1" subtotal="average" baseField="0" baseItem="1" numFmtId="4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Number of Orders"/>
    <pivotHierarchy dragToData="1"/>
    <pivotHierarchy dragToData="1" caption="Average of Total Revenue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93DC1-979D-47CA-9B1B-A7B84439AE80}" name="PivotTable7" cacheId="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" rowHeaderCaption="Product name">
  <location ref="B4:C14" firstHeaderRow="1" firstDataRow="1" firstDataCol="1"/>
  <pivotFields count="2">
    <pivotField axis="axisRow" allDrilled="1" subtotalTop="0" showAll="0" measureFilter="1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6"/>
    </i>
    <i>
      <x v="4"/>
    </i>
    <i>
      <x v="8"/>
    </i>
    <i>
      <x v="3"/>
    </i>
    <i>
      <x v="7"/>
    </i>
    <i>
      <x v="1"/>
    </i>
    <i>
      <x v="5"/>
    </i>
    <i>
      <x/>
    </i>
    <i>
      <x v="2"/>
    </i>
    <i t="grand">
      <x/>
    </i>
  </rowItems>
  <colItems count="1">
    <i/>
  </colItems>
  <dataFields count="1">
    <dataField name="Sales by product" fld="1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by produc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6">
      <autoFilter ref="A1">
        <filterColumn colId="0">
          <top10 val="9" filterVal="9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4E75-75CE-4750-BB89-84B692BC56EF}" name="PivotTable8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Top Buyers">
  <location ref="B2:C18" firstHeaderRow="1" firstDataRow="1" firstDataCol="1"/>
  <pivotFields count="2"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6">
    <i>
      <x v="8"/>
    </i>
    <i>
      <x v="12"/>
    </i>
    <i>
      <x v="4"/>
    </i>
    <i>
      <x v="2"/>
    </i>
    <i>
      <x v="1"/>
    </i>
    <i>
      <x v="5"/>
    </i>
    <i>
      <x v="7"/>
    </i>
    <i>
      <x/>
    </i>
    <i>
      <x v="9"/>
    </i>
    <i>
      <x v="10"/>
    </i>
    <i>
      <x v="6"/>
    </i>
    <i>
      <x v="14"/>
    </i>
    <i>
      <x v="3"/>
    </i>
    <i>
      <x v="13"/>
    </i>
    <i>
      <x v="11"/>
    </i>
    <i t="grand">
      <x/>
    </i>
  </rowItems>
  <colItems count="1">
    <i/>
  </colItems>
  <dataFields count="1">
    <dataField name="Money Spent per buyer" fld="1" baseField="0" baseItem="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oney Spent per buy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42F63-E781-48C8-B2B4-9F41C8D0A206}" name="PivotTable9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Top 3 Categories">
  <location ref="B2:C6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ales per item" fld="1" baseField="0" baseItem="1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per item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840AE-D7EA-4A93-AC7D-9DFA3DDDBBD6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 rowHeaderCaption="Month">
  <location ref="B2:C12" firstHeaderRow="1" firstDataRow="1" firstDataCol="1"/>
  <pivotFields count="4"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allDrilled="1" subtotalTop="0" showAll="0" dataSourceSort="1" defaultSubtotal="0">
      <items count="8">
        <item x="0" e="0"/>
        <item x="1" e="0"/>
        <item x="2" e="0"/>
        <item x="3" e="0"/>
        <item x="4" e="0"/>
        <item x="5" e="0"/>
        <item x="6" e="0"/>
        <item x="7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3">
    <field x="3"/>
    <field x="1"/>
    <field x="0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Revenue" fld="2" baseField="1" baseItem="0"/>
  </dataField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Revenue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5"/>
    <rowHierarchyUsage hierarchyUsage="14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E2D40-97F9-4456-B071-C4BEAA47DBB5}" name="PivotTable11" cacheId="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Customer">
  <location ref="B2:D16" firstHeaderRow="0" firstDataRow="1" firstDataCol="1"/>
  <pivotFields count="3">
    <pivotField axis="axisRow" allDrilled="1" subtotalTop="0" showAll="0" measureFilter="1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4">
    <i>
      <x v="8"/>
    </i>
    <i>
      <x v="4"/>
    </i>
    <i>
      <x v="6"/>
    </i>
    <i>
      <x v="9"/>
    </i>
    <i>
      <x v="11"/>
    </i>
    <i>
      <x v="10"/>
    </i>
    <i>
      <x/>
    </i>
    <i>
      <x v="2"/>
    </i>
    <i>
      <x v="7"/>
    </i>
    <i>
      <x v="5"/>
    </i>
    <i>
      <x v="1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Orders" fld="1" subtotal="count" baseField="0" baseItem="8"/>
    <dataField name="Total Amount Spent" fld="2" baseField="0" baseItem="8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Number of Orders"/>
    <pivotHierarchy dragToData="1" caption="Total Amount Spent"/>
    <pivotHierarchy dragToData="1"/>
  </pivotHierarchies>
  <pivotTableStyleInfo name="PivotStyleLight16" showRowHeaders="1" showColHeaders="1" showRowStripes="0" showColStripes="0" showLastColumn="1"/>
  <filters count="1">
    <filter fld="0" type="valueGreaterThan" id="1" iMeasureHier="28">
      <autoFilter ref="A1">
        <filterColumn colId="0">
          <customFilters>
            <customFilter operator="greaterThan" val="1"/>
          </customFilters>
        </filterColumn>
      </autoFilter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CEF14D8-2A68-4486-8477-4F73649EF4C0}" autoFormatId="16" applyNumberFormats="0" applyBorderFormats="0" applyFontFormats="0" applyPatternFormats="0" applyAlignmentFormats="0" applyWidthHeightFormats="0">
  <queryTableRefresh nextId="7">
    <queryTableFields count="6">
      <queryTableField id="1" name="Order_items[Order_item_id]" tableColumnId="1"/>
      <queryTableField id="2" name="Order_items[Order_id]" tableColumnId="2"/>
      <queryTableField id="3" name="Order_items[Product_id]" tableColumnId="3"/>
      <queryTableField id="4" name="Order_items[Quantity]" tableColumnId="4"/>
      <queryTableField id="5" name="Order_items[Price]" tableColumnId="5"/>
      <queryTableField id="6" name="Order_items[Total_price]" tableColumnId="6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37003-9EDA-4507-9BE1-FA8CB80B1F43}" name="Table_ExternalData_1" displayName="Table_ExternalData_1" ref="A3:F84" tableType="queryTable" totalsRowShown="0">
  <autoFilter ref="A3:F84" xr:uid="{F0F37003-9EDA-4507-9BE1-FA8CB80B1F43}"/>
  <tableColumns count="6">
    <tableColumn id="1" xr3:uid="{CAF51A3C-10AB-483E-839E-B14D0CC2ACA4}" uniqueName="1" name="Order_items[Order_item_id]" queryTableFieldId="1"/>
    <tableColumn id="2" xr3:uid="{7B1D4189-6387-4D72-A8D0-76A02AECD83F}" uniqueName="2" name="Order_items[Order_id]" queryTableFieldId="2"/>
    <tableColumn id="3" xr3:uid="{5507A4E4-0039-4DDE-8FCD-FC852C1FAD54}" uniqueName="3" name="Order_items[Product_id]" queryTableFieldId="3"/>
    <tableColumn id="4" xr3:uid="{456E737A-DD0A-4994-A1A6-B40AEB1FC06A}" uniqueName="4" name="Order_items[Quantity]" queryTableFieldId="4"/>
    <tableColumn id="5" xr3:uid="{549C5984-D3D0-4AC8-AE41-FE1D0207E761}" uniqueName="5" name="Order_items[Price]" queryTableFieldId="5"/>
    <tableColumn id="6" xr3:uid="{1B3CBA25-C61C-4A21-B84E-E1ADC8DEDB1A}" uniqueName="6" name="Order_items[Total_price]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3B33-B6D8-4B16-BDC1-76B065DD2FF8}">
  <dimension ref="A1:M53"/>
  <sheetViews>
    <sheetView tabSelected="1" topLeftCell="A13" workbookViewId="0">
      <selection activeCell="R41" sqref="R41"/>
    </sheetView>
  </sheetViews>
  <sheetFormatPr defaultRowHeight="15" x14ac:dyDescent="0.25"/>
  <cols>
    <col min="1" max="9" width="9.140625" style="5"/>
    <col min="10" max="10" width="20.140625" style="5" bestFit="1" customWidth="1"/>
    <col min="11" max="11" width="22.28515625" style="5" bestFit="1" customWidth="1"/>
    <col min="12" max="16384" width="9.140625" style="5"/>
  </cols>
  <sheetData>
    <row r="1" spans="1:13" x14ac:dyDescent="0.25">
      <c r="A1" s="15" t="s">
        <v>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25">
      <c r="A3" s="7" t="s">
        <v>42</v>
      </c>
      <c r="B3" s="8"/>
      <c r="C3" s="8"/>
      <c r="D3" s="7" t="s">
        <v>52</v>
      </c>
      <c r="E3" s="9"/>
      <c r="F3" s="9"/>
      <c r="G3" s="7" t="s">
        <v>53</v>
      </c>
      <c r="H3" s="7"/>
      <c r="I3" s="7"/>
      <c r="J3" s="7" t="s">
        <v>54</v>
      </c>
      <c r="K3" s="10"/>
      <c r="L3" s="10"/>
      <c r="M3" s="10"/>
    </row>
    <row r="4" spans="1:13" ht="15" customHeight="1" x14ac:dyDescent="0.25">
      <c r="A4" s="11">
        <v>535305</v>
      </c>
      <c r="B4" s="12"/>
      <c r="C4" s="12"/>
      <c r="D4" s="12">
        <v>52</v>
      </c>
      <c r="E4" s="12"/>
      <c r="F4" s="12"/>
      <c r="G4" s="13">
        <v>10294.33</v>
      </c>
      <c r="H4" s="12"/>
      <c r="I4" s="12"/>
      <c r="J4" s="12">
        <v>15</v>
      </c>
      <c r="K4" s="12"/>
      <c r="L4" s="12"/>
      <c r="M4" s="12"/>
    </row>
    <row r="5" spans="1:13" ht="15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37" spans="10:11" x14ac:dyDescent="0.25">
      <c r="J37" s="5" t="s">
        <v>20</v>
      </c>
      <c r="K37" s="5" t="s">
        <v>40</v>
      </c>
    </row>
    <row r="38" spans="10:11" x14ac:dyDescent="0.25">
      <c r="J38" s="14" t="s">
        <v>3</v>
      </c>
      <c r="K38" s="5">
        <v>95734</v>
      </c>
    </row>
    <row r="39" spans="10:11" x14ac:dyDescent="0.25">
      <c r="J39" s="14" t="s">
        <v>0</v>
      </c>
      <c r="K39" s="5">
        <v>59293</v>
      </c>
    </row>
    <row r="40" spans="10:11" x14ac:dyDescent="0.25">
      <c r="J40" s="14" t="s">
        <v>2</v>
      </c>
      <c r="K40" s="5">
        <v>51290</v>
      </c>
    </row>
    <row r="41" spans="10:11" x14ac:dyDescent="0.25">
      <c r="J41" s="14" t="s">
        <v>13</v>
      </c>
      <c r="K41" s="5">
        <v>51192</v>
      </c>
    </row>
    <row r="42" spans="10:11" x14ac:dyDescent="0.25">
      <c r="J42" s="14" t="s">
        <v>12</v>
      </c>
      <c r="K42" s="5">
        <v>40295</v>
      </c>
    </row>
    <row r="43" spans="10:11" x14ac:dyDescent="0.25">
      <c r="J43" s="14" t="s">
        <v>9</v>
      </c>
      <c r="K43" s="5">
        <v>39445</v>
      </c>
    </row>
    <row r="44" spans="10:11" x14ac:dyDescent="0.25">
      <c r="J44" s="14" t="s">
        <v>10</v>
      </c>
      <c r="K44" s="5">
        <v>37990</v>
      </c>
    </row>
    <row r="45" spans="10:11" x14ac:dyDescent="0.25">
      <c r="J45" s="14" t="s">
        <v>1</v>
      </c>
      <c r="K45" s="5">
        <v>35795</v>
      </c>
    </row>
    <row r="46" spans="10:11" x14ac:dyDescent="0.25">
      <c r="J46" s="14" t="s">
        <v>6</v>
      </c>
      <c r="K46" s="5">
        <v>34094</v>
      </c>
    </row>
    <row r="47" spans="10:11" x14ac:dyDescent="0.25">
      <c r="J47" s="14" t="s">
        <v>8</v>
      </c>
      <c r="K47" s="5">
        <v>33545</v>
      </c>
    </row>
    <row r="48" spans="10:11" x14ac:dyDescent="0.25">
      <c r="J48" s="14" t="s">
        <v>5</v>
      </c>
      <c r="K48" s="5">
        <v>25392</v>
      </c>
    </row>
    <row r="49" spans="10:11" x14ac:dyDescent="0.25">
      <c r="J49" s="14" t="s">
        <v>7</v>
      </c>
      <c r="K49" s="5">
        <v>12998</v>
      </c>
    </row>
    <row r="50" spans="10:11" x14ac:dyDescent="0.25">
      <c r="J50" s="14" t="s">
        <v>11</v>
      </c>
      <c r="K50" s="5">
        <v>11446</v>
      </c>
    </row>
    <row r="51" spans="10:11" x14ac:dyDescent="0.25">
      <c r="J51" s="14" t="s">
        <v>14</v>
      </c>
      <c r="K51" s="5">
        <v>4998</v>
      </c>
    </row>
    <row r="52" spans="10:11" x14ac:dyDescent="0.25">
      <c r="J52" s="14" t="s">
        <v>4</v>
      </c>
      <c r="K52" s="5">
        <v>1798</v>
      </c>
    </row>
    <row r="53" spans="10:11" x14ac:dyDescent="0.25">
      <c r="J53" s="14" t="s">
        <v>18</v>
      </c>
      <c r="K53" s="5">
        <v>535305</v>
      </c>
    </row>
  </sheetData>
  <mergeCells count="9">
    <mergeCell ref="D4:F5"/>
    <mergeCell ref="G3:I3"/>
    <mergeCell ref="G4:I5"/>
    <mergeCell ref="J3:M3"/>
    <mergeCell ref="J4:M5"/>
    <mergeCell ref="A1:M2"/>
    <mergeCell ref="A3:C3"/>
    <mergeCell ref="A4:C5"/>
    <mergeCell ref="D3:F3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ACFA-A09E-492E-81A9-3F6D0A8F4C3B}">
  <dimension ref="A1:F84"/>
  <sheetViews>
    <sheetView workbookViewId="0"/>
  </sheetViews>
  <sheetFormatPr defaultRowHeight="15" x14ac:dyDescent="0.25"/>
  <cols>
    <col min="1" max="1" width="29.42578125" bestFit="1" customWidth="1"/>
    <col min="2" max="2" width="24.140625" bestFit="1" customWidth="1"/>
    <col min="3" max="3" width="25.85546875" bestFit="1" customWidth="1"/>
    <col min="4" max="4" width="24" bestFit="1" customWidth="1"/>
    <col min="5" max="5" width="20.5703125" bestFit="1" customWidth="1"/>
    <col min="6" max="6" width="26.140625" bestFit="1" customWidth="1"/>
  </cols>
  <sheetData>
    <row r="1" spans="1:6" x14ac:dyDescent="0.25">
      <c r="A1" t="s">
        <v>51</v>
      </c>
    </row>
    <row r="3" spans="1:6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6" x14ac:dyDescent="0.25">
      <c r="A4">
        <v>1</v>
      </c>
      <c r="B4">
        <v>100</v>
      </c>
      <c r="C4">
        <v>100</v>
      </c>
      <c r="D4">
        <v>1</v>
      </c>
      <c r="E4">
        <v>18999</v>
      </c>
      <c r="F4">
        <v>18999</v>
      </c>
    </row>
    <row r="5" spans="1:6" x14ac:dyDescent="0.25">
      <c r="A5">
        <v>2</v>
      </c>
      <c r="B5">
        <v>101</v>
      </c>
      <c r="C5">
        <v>101</v>
      </c>
      <c r="D5">
        <v>1</v>
      </c>
      <c r="E5">
        <v>12499</v>
      </c>
      <c r="F5">
        <v>12499</v>
      </c>
    </row>
    <row r="6" spans="1:6" x14ac:dyDescent="0.25">
      <c r="A6">
        <v>3</v>
      </c>
      <c r="B6">
        <v>101</v>
      </c>
      <c r="C6">
        <v>102</v>
      </c>
      <c r="D6">
        <v>1</v>
      </c>
      <c r="E6">
        <v>1299</v>
      </c>
      <c r="F6">
        <v>1299</v>
      </c>
    </row>
    <row r="7" spans="1:6" x14ac:dyDescent="0.25">
      <c r="A7">
        <v>4</v>
      </c>
      <c r="B7">
        <v>102</v>
      </c>
      <c r="C7">
        <v>103</v>
      </c>
      <c r="D7">
        <v>1</v>
      </c>
      <c r="E7">
        <v>2499</v>
      </c>
      <c r="F7">
        <v>2499</v>
      </c>
    </row>
    <row r="8" spans="1:6" x14ac:dyDescent="0.25">
      <c r="A8">
        <v>5</v>
      </c>
      <c r="B8">
        <v>103</v>
      </c>
      <c r="C8">
        <v>102</v>
      </c>
      <c r="D8">
        <v>1</v>
      </c>
      <c r="E8">
        <v>1299</v>
      </c>
      <c r="F8">
        <v>1299</v>
      </c>
    </row>
    <row r="9" spans="1:6" x14ac:dyDescent="0.25">
      <c r="A9">
        <v>6</v>
      </c>
      <c r="B9">
        <v>104</v>
      </c>
      <c r="C9">
        <v>104</v>
      </c>
      <c r="D9">
        <v>1</v>
      </c>
      <c r="E9">
        <v>4999</v>
      </c>
      <c r="F9">
        <v>4999</v>
      </c>
    </row>
    <row r="10" spans="1:6" x14ac:dyDescent="0.25">
      <c r="A10">
        <v>7</v>
      </c>
      <c r="B10">
        <v>105</v>
      </c>
      <c r="C10">
        <v>101</v>
      </c>
      <c r="D10">
        <v>1</v>
      </c>
      <c r="E10">
        <v>12499</v>
      </c>
      <c r="F10">
        <v>12499</v>
      </c>
    </row>
    <row r="11" spans="1:6" x14ac:dyDescent="0.25">
      <c r="A11">
        <v>8</v>
      </c>
      <c r="B11">
        <v>106</v>
      </c>
      <c r="C11">
        <v>107</v>
      </c>
      <c r="D11">
        <v>1</v>
      </c>
      <c r="E11">
        <v>3299</v>
      </c>
      <c r="F11">
        <v>3299</v>
      </c>
    </row>
    <row r="12" spans="1:6" x14ac:dyDescent="0.25">
      <c r="A12">
        <v>9</v>
      </c>
      <c r="B12">
        <v>107</v>
      </c>
      <c r="C12">
        <v>106</v>
      </c>
      <c r="D12">
        <v>1</v>
      </c>
      <c r="E12">
        <v>6999</v>
      </c>
      <c r="F12">
        <v>6999</v>
      </c>
    </row>
    <row r="13" spans="1:6" x14ac:dyDescent="0.25">
      <c r="A13">
        <v>10</v>
      </c>
      <c r="B13">
        <v>108</v>
      </c>
      <c r="C13">
        <v>105</v>
      </c>
      <c r="D13">
        <v>1</v>
      </c>
      <c r="E13">
        <v>499</v>
      </c>
      <c r="F13">
        <v>499</v>
      </c>
    </row>
    <row r="14" spans="1:6" x14ac:dyDescent="0.25">
      <c r="A14">
        <v>11</v>
      </c>
      <c r="B14">
        <v>109</v>
      </c>
      <c r="C14">
        <v>101</v>
      </c>
      <c r="D14">
        <v>1</v>
      </c>
      <c r="E14">
        <v>12499</v>
      </c>
      <c r="F14">
        <v>12499</v>
      </c>
    </row>
    <row r="15" spans="1:6" x14ac:dyDescent="0.25">
      <c r="A15">
        <v>12</v>
      </c>
      <c r="B15">
        <v>109</v>
      </c>
      <c r="C15">
        <v>105</v>
      </c>
      <c r="D15">
        <v>1</v>
      </c>
      <c r="E15">
        <v>499</v>
      </c>
      <c r="F15">
        <v>499</v>
      </c>
    </row>
    <row r="16" spans="1:6" x14ac:dyDescent="0.25">
      <c r="A16">
        <v>13</v>
      </c>
      <c r="B16">
        <v>110</v>
      </c>
      <c r="C16">
        <v>105</v>
      </c>
      <c r="D16">
        <v>1</v>
      </c>
      <c r="E16">
        <v>499</v>
      </c>
      <c r="F16">
        <v>499</v>
      </c>
    </row>
    <row r="17" spans="1:6" x14ac:dyDescent="0.25">
      <c r="A17">
        <v>14</v>
      </c>
      <c r="B17">
        <v>111</v>
      </c>
      <c r="C17">
        <v>100</v>
      </c>
      <c r="D17">
        <v>1</v>
      </c>
      <c r="E17">
        <v>18999</v>
      </c>
      <c r="F17">
        <v>18999</v>
      </c>
    </row>
    <row r="18" spans="1:6" x14ac:dyDescent="0.25">
      <c r="A18">
        <v>15</v>
      </c>
      <c r="B18">
        <v>112</v>
      </c>
      <c r="C18">
        <v>103</v>
      </c>
      <c r="D18">
        <v>1</v>
      </c>
      <c r="E18">
        <v>2499</v>
      </c>
      <c r="F18">
        <v>2499</v>
      </c>
    </row>
    <row r="19" spans="1:6" x14ac:dyDescent="0.25">
      <c r="A19">
        <v>16</v>
      </c>
      <c r="B19">
        <v>112</v>
      </c>
      <c r="C19">
        <v>113</v>
      </c>
      <c r="D19">
        <v>1</v>
      </c>
      <c r="E19">
        <v>2199</v>
      </c>
      <c r="F19">
        <v>2199</v>
      </c>
    </row>
    <row r="20" spans="1:6" x14ac:dyDescent="0.25">
      <c r="A20">
        <v>17</v>
      </c>
      <c r="B20">
        <v>113</v>
      </c>
      <c r="C20">
        <v>100</v>
      </c>
      <c r="D20">
        <v>1</v>
      </c>
      <c r="E20">
        <v>18999</v>
      </c>
      <c r="F20">
        <v>18999</v>
      </c>
    </row>
    <row r="21" spans="1:6" x14ac:dyDescent="0.25">
      <c r="A21">
        <v>18</v>
      </c>
      <c r="B21">
        <v>113</v>
      </c>
      <c r="C21">
        <v>113</v>
      </c>
      <c r="D21">
        <v>1</v>
      </c>
      <c r="E21">
        <v>2199</v>
      </c>
      <c r="F21">
        <v>2199</v>
      </c>
    </row>
    <row r="22" spans="1:6" x14ac:dyDescent="0.25">
      <c r="A22">
        <v>19</v>
      </c>
      <c r="B22">
        <v>114</v>
      </c>
      <c r="C22">
        <v>111</v>
      </c>
      <c r="D22">
        <v>2</v>
      </c>
      <c r="E22">
        <v>3799</v>
      </c>
      <c r="F22">
        <v>7598</v>
      </c>
    </row>
    <row r="23" spans="1:6" x14ac:dyDescent="0.25">
      <c r="A23">
        <v>20</v>
      </c>
      <c r="B23">
        <v>115</v>
      </c>
      <c r="C23">
        <v>112</v>
      </c>
      <c r="D23">
        <v>1</v>
      </c>
      <c r="E23">
        <v>8999</v>
      </c>
      <c r="F23">
        <v>8999</v>
      </c>
    </row>
    <row r="24" spans="1:6" x14ac:dyDescent="0.25">
      <c r="A24">
        <v>21</v>
      </c>
      <c r="B24">
        <v>115</v>
      </c>
      <c r="C24">
        <v>100</v>
      </c>
      <c r="D24">
        <v>2</v>
      </c>
      <c r="E24">
        <v>18999</v>
      </c>
      <c r="F24">
        <v>37998</v>
      </c>
    </row>
    <row r="25" spans="1:6" x14ac:dyDescent="0.25">
      <c r="A25">
        <v>22</v>
      </c>
      <c r="B25">
        <v>116</v>
      </c>
      <c r="C25">
        <v>112</v>
      </c>
      <c r="D25">
        <v>1</v>
      </c>
      <c r="E25">
        <v>8999</v>
      </c>
      <c r="F25">
        <v>8999</v>
      </c>
    </row>
    <row r="26" spans="1:6" x14ac:dyDescent="0.25">
      <c r="A26">
        <v>23</v>
      </c>
      <c r="B26">
        <v>117</v>
      </c>
      <c r="C26">
        <v>105</v>
      </c>
      <c r="D26">
        <v>1</v>
      </c>
      <c r="E26">
        <v>499</v>
      </c>
      <c r="F26">
        <v>499</v>
      </c>
    </row>
    <row r="27" spans="1:6" x14ac:dyDescent="0.25">
      <c r="A27">
        <v>24</v>
      </c>
      <c r="B27">
        <v>118</v>
      </c>
      <c r="C27">
        <v>111</v>
      </c>
      <c r="D27">
        <v>2</v>
      </c>
      <c r="E27">
        <v>3799</v>
      </c>
      <c r="F27">
        <v>7598</v>
      </c>
    </row>
    <row r="28" spans="1:6" x14ac:dyDescent="0.25">
      <c r="A28">
        <v>25</v>
      </c>
      <c r="B28">
        <v>119</v>
      </c>
      <c r="C28">
        <v>108</v>
      </c>
      <c r="D28">
        <v>1</v>
      </c>
      <c r="E28">
        <v>349</v>
      </c>
      <c r="F28">
        <v>349</v>
      </c>
    </row>
    <row r="29" spans="1:6" x14ac:dyDescent="0.25">
      <c r="A29">
        <v>26</v>
      </c>
      <c r="B29">
        <v>120</v>
      </c>
      <c r="C29">
        <v>111</v>
      </c>
      <c r="D29">
        <v>1</v>
      </c>
      <c r="E29">
        <v>3799</v>
      </c>
      <c r="F29">
        <v>3799</v>
      </c>
    </row>
    <row r="30" spans="1:6" x14ac:dyDescent="0.25">
      <c r="A30">
        <v>27</v>
      </c>
      <c r="B30">
        <v>121</v>
      </c>
      <c r="C30">
        <v>101</v>
      </c>
      <c r="D30">
        <v>1</v>
      </c>
      <c r="E30">
        <v>12499</v>
      </c>
      <c r="F30">
        <v>12499</v>
      </c>
    </row>
    <row r="31" spans="1:6" x14ac:dyDescent="0.25">
      <c r="A31">
        <v>28</v>
      </c>
      <c r="B31">
        <v>121</v>
      </c>
      <c r="C31">
        <v>103</v>
      </c>
      <c r="D31">
        <v>2</v>
      </c>
      <c r="E31">
        <v>2499</v>
      </c>
      <c r="F31">
        <v>4998</v>
      </c>
    </row>
    <row r="32" spans="1:6" x14ac:dyDescent="0.25">
      <c r="A32">
        <v>29</v>
      </c>
      <c r="B32">
        <v>122</v>
      </c>
      <c r="C32">
        <v>102</v>
      </c>
      <c r="D32">
        <v>1</v>
      </c>
      <c r="E32">
        <v>1299</v>
      </c>
      <c r="F32">
        <v>1299</v>
      </c>
    </row>
    <row r="33" spans="1:6" x14ac:dyDescent="0.25">
      <c r="A33">
        <v>30</v>
      </c>
      <c r="B33">
        <v>122</v>
      </c>
      <c r="C33">
        <v>105</v>
      </c>
      <c r="D33">
        <v>1</v>
      </c>
      <c r="E33">
        <v>499</v>
      </c>
      <c r="F33">
        <v>499</v>
      </c>
    </row>
    <row r="34" spans="1:6" x14ac:dyDescent="0.25">
      <c r="A34">
        <v>31</v>
      </c>
      <c r="B34">
        <v>123</v>
      </c>
      <c r="C34">
        <v>109</v>
      </c>
      <c r="D34">
        <v>1</v>
      </c>
      <c r="E34">
        <v>1899</v>
      </c>
      <c r="F34">
        <v>1899</v>
      </c>
    </row>
    <row r="35" spans="1:6" x14ac:dyDescent="0.25">
      <c r="A35">
        <v>32</v>
      </c>
      <c r="B35">
        <v>124</v>
      </c>
      <c r="C35">
        <v>106</v>
      </c>
      <c r="D35">
        <v>1</v>
      </c>
      <c r="E35">
        <v>6999</v>
      </c>
      <c r="F35">
        <v>6999</v>
      </c>
    </row>
    <row r="36" spans="1:6" x14ac:dyDescent="0.25">
      <c r="A36">
        <v>33</v>
      </c>
      <c r="B36">
        <v>124</v>
      </c>
      <c r="C36">
        <v>104</v>
      </c>
      <c r="D36">
        <v>1</v>
      </c>
      <c r="E36">
        <v>4999</v>
      </c>
      <c r="F36">
        <v>4999</v>
      </c>
    </row>
    <row r="37" spans="1:6" x14ac:dyDescent="0.25">
      <c r="A37">
        <v>34</v>
      </c>
      <c r="B37">
        <v>125</v>
      </c>
      <c r="C37">
        <v>112</v>
      </c>
      <c r="D37">
        <v>1</v>
      </c>
      <c r="E37">
        <v>8999</v>
      </c>
      <c r="F37">
        <v>8999</v>
      </c>
    </row>
    <row r="38" spans="1:6" x14ac:dyDescent="0.25">
      <c r="A38">
        <v>35</v>
      </c>
      <c r="B38">
        <v>126</v>
      </c>
      <c r="C38">
        <v>109</v>
      </c>
      <c r="D38">
        <v>1</v>
      </c>
      <c r="E38">
        <v>1899</v>
      </c>
      <c r="F38">
        <v>1899</v>
      </c>
    </row>
    <row r="39" spans="1:6" x14ac:dyDescent="0.25">
      <c r="A39">
        <v>36</v>
      </c>
      <c r="B39">
        <v>127</v>
      </c>
      <c r="C39">
        <v>102</v>
      </c>
      <c r="D39">
        <v>1</v>
      </c>
      <c r="E39">
        <v>1299</v>
      </c>
      <c r="F39">
        <v>1299</v>
      </c>
    </row>
    <row r="40" spans="1:6" x14ac:dyDescent="0.25">
      <c r="A40">
        <v>37</v>
      </c>
      <c r="B40">
        <v>127</v>
      </c>
      <c r="C40">
        <v>104</v>
      </c>
      <c r="D40">
        <v>1</v>
      </c>
      <c r="E40">
        <v>4999</v>
      </c>
      <c r="F40">
        <v>4999</v>
      </c>
    </row>
    <row r="41" spans="1:6" x14ac:dyDescent="0.25">
      <c r="A41">
        <v>38</v>
      </c>
      <c r="B41">
        <v>128</v>
      </c>
      <c r="C41">
        <v>106</v>
      </c>
      <c r="D41">
        <v>1</v>
      </c>
      <c r="E41">
        <v>6999</v>
      </c>
      <c r="F41">
        <v>6999</v>
      </c>
    </row>
    <row r="42" spans="1:6" x14ac:dyDescent="0.25">
      <c r="A42">
        <v>39</v>
      </c>
      <c r="B42">
        <v>128</v>
      </c>
      <c r="C42">
        <v>109</v>
      </c>
      <c r="D42">
        <v>1</v>
      </c>
      <c r="E42">
        <v>1899</v>
      </c>
      <c r="F42">
        <v>1899</v>
      </c>
    </row>
    <row r="43" spans="1:6" x14ac:dyDescent="0.25">
      <c r="A43">
        <v>40</v>
      </c>
      <c r="B43">
        <v>128</v>
      </c>
      <c r="C43">
        <v>113</v>
      </c>
      <c r="D43">
        <v>1</v>
      </c>
      <c r="E43">
        <v>2199</v>
      </c>
      <c r="F43">
        <v>2199</v>
      </c>
    </row>
    <row r="44" spans="1:6" x14ac:dyDescent="0.25">
      <c r="A44">
        <v>41</v>
      </c>
      <c r="B44">
        <v>129</v>
      </c>
      <c r="C44">
        <v>113</v>
      </c>
      <c r="D44">
        <v>1</v>
      </c>
      <c r="E44">
        <v>2199</v>
      </c>
      <c r="F44">
        <v>2199</v>
      </c>
    </row>
    <row r="45" spans="1:6" x14ac:dyDescent="0.25">
      <c r="A45">
        <v>42</v>
      </c>
      <c r="B45">
        <v>130</v>
      </c>
      <c r="C45">
        <v>109</v>
      </c>
      <c r="D45">
        <v>2</v>
      </c>
      <c r="E45">
        <v>1899</v>
      </c>
      <c r="F45">
        <v>3798</v>
      </c>
    </row>
    <row r="46" spans="1:6" x14ac:dyDescent="0.25">
      <c r="A46">
        <v>43</v>
      </c>
      <c r="B46">
        <v>130</v>
      </c>
      <c r="C46">
        <v>101</v>
      </c>
      <c r="D46">
        <v>2</v>
      </c>
      <c r="E46">
        <v>12499</v>
      </c>
      <c r="F46">
        <v>24998</v>
      </c>
    </row>
    <row r="47" spans="1:6" x14ac:dyDescent="0.25">
      <c r="A47">
        <v>44</v>
      </c>
      <c r="B47">
        <v>131</v>
      </c>
      <c r="C47">
        <v>108</v>
      </c>
      <c r="D47">
        <v>1</v>
      </c>
      <c r="E47">
        <v>349</v>
      </c>
      <c r="F47">
        <v>349</v>
      </c>
    </row>
    <row r="48" spans="1:6" x14ac:dyDescent="0.25">
      <c r="A48">
        <v>45</v>
      </c>
      <c r="B48">
        <v>131</v>
      </c>
      <c r="C48">
        <v>100</v>
      </c>
      <c r="D48">
        <v>1</v>
      </c>
      <c r="E48">
        <v>18999</v>
      </c>
      <c r="F48">
        <v>18999</v>
      </c>
    </row>
    <row r="49" spans="1:6" x14ac:dyDescent="0.25">
      <c r="A49">
        <v>46</v>
      </c>
      <c r="B49">
        <v>132</v>
      </c>
      <c r="C49">
        <v>106</v>
      </c>
      <c r="D49">
        <v>2</v>
      </c>
      <c r="E49">
        <v>6999</v>
      </c>
      <c r="F49">
        <v>13998</v>
      </c>
    </row>
    <row r="50" spans="1:6" x14ac:dyDescent="0.25">
      <c r="A50">
        <v>47</v>
      </c>
      <c r="B50">
        <v>132</v>
      </c>
      <c r="C50">
        <v>102</v>
      </c>
      <c r="D50">
        <v>1</v>
      </c>
      <c r="E50">
        <v>1299</v>
      </c>
      <c r="F50">
        <v>1299</v>
      </c>
    </row>
    <row r="51" spans="1:6" x14ac:dyDescent="0.25">
      <c r="A51">
        <v>48</v>
      </c>
      <c r="B51">
        <v>133</v>
      </c>
      <c r="C51">
        <v>108</v>
      </c>
      <c r="D51">
        <v>1</v>
      </c>
      <c r="E51">
        <v>349</v>
      </c>
      <c r="F51">
        <v>349</v>
      </c>
    </row>
    <row r="52" spans="1:6" x14ac:dyDescent="0.25">
      <c r="A52">
        <v>49</v>
      </c>
      <c r="B52">
        <v>134</v>
      </c>
      <c r="C52">
        <v>109</v>
      </c>
      <c r="D52">
        <v>1</v>
      </c>
      <c r="E52">
        <v>1899</v>
      </c>
      <c r="F52">
        <v>1899</v>
      </c>
    </row>
    <row r="53" spans="1:6" x14ac:dyDescent="0.25">
      <c r="A53">
        <v>50</v>
      </c>
      <c r="B53">
        <v>134</v>
      </c>
      <c r="C53">
        <v>103</v>
      </c>
      <c r="D53">
        <v>1</v>
      </c>
      <c r="E53">
        <v>2499</v>
      </c>
      <c r="F53">
        <v>2499</v>
      </c>
    </row>
    <row r="54" spans="1:6" x14ac:dyDescent="0.25">
      <c r="A54">
        <v>51</v>
      </c>
      <c r="B54">
        <v>134</v>
      </c>
      <c r="C54">
        <v>102</v>
      </c>
      <c r="D54">
        <v>1</v>
      </c>
      <c r="E54">
        <v>1299</v>
      </c>
      <c r="F54">
        <v>1299</v>
      </c>
    </row>
    <row r="55" spans="1:6" x14ac:dyDescent="0.25">
      <c r="A55">
        <v>52</v>
      </c>
      <c r="B55">
        <v>135</v>
      </c>
      <c r="C55">
        <v>101</v>
      </c>
      <c r="D55">
        <v>1</v>
      </c>
      <c r="E55">
        <v>12499</v>
      </c>
      <c r="F55">
        <v>12499</v>
      </c>
    </row>
    <row r="56" spans="1:6" x14ac:dyDescent="0.25">
      <c r="A56">
        <v>53</v>
      </c>
      <c r="B56">
        <v>136</v>
      </c>
      <c r="C56">
        <v>103</v>
      </c>
      <c r="D56">
        <v>1</v>
      </c>
      <c r="E56">
        <v>2499</v>
      </c>
      <c r="F56">
        <v>2499</v>
      </c>
    </row>
    <row r="57" spans="1:6" x14ac:dyDescent="0.25">
      <c r="A57">
        <v>54</v>
      </c>
      <c r="B57">
        <v>137</v>
      </c>
      <c r="C57">
        <v>112</v>
      </c>
      <c r="D57">
        <v>1</v>
      </c>
      <c r="E57">
        <v>8999</v>
      </c>
      <c r="F57">
        <v>8999</v>
      </c>
    </row>
    <row r="58" spans="1:6" x14ac:dyDescent="0.25">
      <c r="A58">
        <v>55</v>
      </c>
      <c r="B58">
        <v>138</v>
      </c>
      <c r="C58">
        <v>104</v>
      </c>
      <c r="D58">
        <v>2</v>
      </c>
      <c r="E58">
        <v>4999</v>
      </c>
      <c r="F58">
        <v>9998</v>
      </c>
    </row>
    <row r="59" spans="1:6" x14ac:dyDescent="0.25">
      <c r="A59">
        <v>56</v>
      </c>
      <c r="B59">
        <v>139</v>
      </c>
      <c r="C59">
        <v>106</v>
      </c>
      <c r="D59">
        <v>1</v>
      </c>
      <c r="E59">
        <v>6999</v>
      </c>
      <c r="F59">
        <v>6999</v>
      </c>
    </row>
    <row r="60" spans="1:6" x14ac:dyDescent="0.25">
      <c r="A60">
        <v>57</v>
      </c>
      <c r="B60">
        <v>139</v>
      </c>
      <c r="C60">
        <v>110</v>
      </c>
      <c r="D60">
        <v>2</v>
      </c>
      <c r="E60">
        <v>1199</v>
      </c>
      <c r="F60">
        <v>2398</v>
      </c>
    </row>
    <row r="61" spans="1:6" x14ac:dyDescent="0.25">
      <c r="A61">
        <v>58</v>
      </c>
      <c r="B61">
        <v>140</v>
      </c>
      <c r="C61">
        <v>103</v>
      </c>
      <c r="D61">
        <v>1</v>
      </c>
      <c r="E61">
        <v>2499</v>
      </c>
      <c r="F61">
        <v>2499</v>
      </c>
    </row>
    <row r="62" spans="1:6" x14ac:dyDescent="0.25">
      <c r="A62">
        <v>59</v>
      </c>
      <c r="B62">
        <v>141</v>
      </c>
      <c r="C62">
        <v>103</v>
      </c>
      <c r="D62">
        <v>1</v>
      </c>
      <c r="E62">
        <v>2499</v>
      </c>
      <c r="F62">
        <v>2499</v>
      </c>
    </row>
    <row r="63" spans="1:6" x14ac:dyDescent="0.25">
      <c r="A63">
        <v>60</v>
      </c>
      <c r="B63">
        <v>141</v>
      </c>
      <c r="C63">
        <v>109</v>
      </c>
      <c r="D63">
        <v>1</v>
      </c>
      <c r="E63">
        <v>1899</v>
      </c>
      <c r="F63">
        <v>1899</v>
      </c>
    </row>
    <row r="64" spans="1:6" x14ac:dyDescent="0.25">
      <c r="A64">
        <v>61</v>
      </c>
      <c r="B64">
        <v>141</v>
      </c>
      <c r="C64">
        <v>113</v>
      </c>
      <c r="D64">
        <v>1</v>
      </c>
      <c r="E64">
        <v>2199</v>
      </c>
      <c r="F64">
        <v>2199</v>
      </c>
    </row>
    <row r="65" spans="1:6" x14ac:dyDescent="0.25">
      <c r="A65">
        <v>62</v>
      </c>
      <c r="B65">
        <v>142</v>
      </c>
      <c r="C65">
        <v>101</v>
      </c>
      <c r="D65">
        <v>1</v>
      </c>
      <c r="E65">
        <v>12499</v>
      </c>
      <c r="F65">
        <v>12499</v>
      </c>
    </row>
    <row r="66" spans="1:6" x14ac:dyDescent="0.25">
      <c r="A66">
        <v>63</v>
      </c>
      <c r="B66">
        <v>142</v>
      </c>
      <c r="C66">
        <v>108</v>
      </c>
      <c r="D66">
        <v>1</v>
      </c>
      <c r="E66">
        <v>349</v>
      </c>
      <c r="F66">
        <v>349</v>
      </c>
    </row>
    <row r="67" spans="1:6" x14ac:dyDescent="0.25">
      <c r="A67">
        <v>64</v>
      </c>
      <c r="B67">
        <v>143</v>
      </c>
      <c r="C67">
        <v>102</v>
      </c>
      <c r="D67">
        <v>2</v>
      </c>
      <c r="E67">
        <v>1299</v>
      </c>
      <c r="F67">
        <v>2598</v>
      </c>
    </row>
    <row r="68" spans="1:6" x14ac:dyDescent="0.25">
      <c r="A68">
        <v>65</v>
      </c>
      <c r="B68">
        <v>143</v>
      </c>
      <c r="C68">
        <v>111</v>
      </c>
      <c r="D68">
        <v>1</v>
      </c>
      <c r="E68">
        <v>3799</v>
      </c>
      <c r="F68">
        <v>3799</v>
      </c>
    </row>
    <row r="69" spans="1:6" x14ac:dyDescent="0.25">
      <c r="A69">
        <v>66</v>
      </c>
      <c r="B69">
        <v>143</v>
      </c>
      <c r="C69">
        <v>109</v>
      </c>
      <c r="D69">
        <v>2</v>
      </c>
      <c r="E69">
        <v>1899</v>
      </c>
      <c r="F69">
        <v>3798</v>
      </c>
    </row>
    <row r="70" spans="1:6" x14ac:dyDescent="0.25">
      <c r="A70">
        <v>67</v>
      </c>
      <c r="B70">
        <v>144</v>
      </c>
      <c r="C70">
        <v>101</v>
      </c>
      <c r="D70">
        <v>2</v>
      </c>
      <c r="E70">
        <v>12499</v>
      </c>
      <c r="F70">
        <v>24998</v>
      </c>
    </row>
    <row r="71" spans="1:6" x14ac:dyDescent="0.25">
      <c r="A71">
        <v>68</v>
      </c>
      <c r="B71">
        <v>145</v>
      </c>
      <c r="C71">
        <v>113</v>
      </c>
      <c r="D71">
        <v>1</v>
      </c>
      <c r="E71">
        <v>2199</v>
      </c>
      <c r="F71">
        <v>2199</v>
      </c>
    </row>
    <row r="72" spans="1:6" x14ac:dyDescent="0.25">
      <c r="A72">
        <v>69</v>
      </c>
      <c r="B72">
        <v>145</v>
      </c>
      <c r="C72">
        <v>111</v>
      </c>
      <c r="D72">
        <v>1</v>
      </c>
      <c r="E72">
        <v>3799</v>
      </c>
      <c r="F72">
        <v>3799</v>
      </c>
    </row>
    <row r="73" spans="1:6" x14ac:dyDescent="0.25">
      <c r="A73">
        <v>70</v>
      </c>
      <c r="B73">
        <v>146</v>
      </c>
      <c r="C73">
        <v>112</v>
      </c>
      <c r="D73">
        <v>1</v>
      </c>
      <c r="E73">
        <v>8999</v>
      </c>
      <c r="F73">
        <v>8999</v>
      </c>
    </row>
    <row r="74" spans="1:6" x14ac:dyDescent="0.25">
      <c r="A74">
        <v>71</v>
      </c>
      <c r="B74">
        <v>146</v>
      </c>
      <c r="C74">
        <v>101</v>
      </c>
      <c r="D74">
        <v>1</v>
      </c>
      <c r="E74">
        <v>12499</v>
      </c>
      <c r="F74">
        <v>12499</v>
      </c>
    </row>
    <row r="75" spans="1:6" x14ac:dyDescent="0.25">
      <c r="A75">
        <v>72</v>
      </c>
      <c r="B75">
        <v>147</v>
      </c>
      <c r="C75">
        <v>102</v>
      </c>
      <c r="D75">
        <v>2</v>
      </c>
      <c r="E75">
        <v>1299</v>
      </c>
      <c r="F75">
        <v>2598</v>
      </c>
    </row>
    <row r="76" spans="1:6" x14ac:dyDescent="0.25">
      <c r="A76">
        <v>73</v>
      </c>
      <c r="B76">
        <v>147</v>
      </c>
      <c r="C76">
        <v>104</v>
      </c>
      <c r="D76">
        <v>1</v>
      </c>
      <c r="E76">
        <v>4999</v>
      </c>
      <c r="F76">
        <v>4999</v>
      </c>
    </row>
    <row r="77" spans="1:6" x14ac:dyDescent="0.25">
      <c r="A77">
        <v>74</v>
      </c>
      <c r="B77">
        <v>148</v>
      </c>
      <c r="C77">
        <v>101</v>
      </c>
      <c r="D77">
        <v>1</v>
      </c>
      <c r="E77">
        <v>12499</v>
      </c>
      <c r="F77">
        <v>12499</v>
      </c>
    </row>
    <row r="78" spans="1:6" x14ac:dyDescent="0.25">
      <c r="A78">
        <v>75</v>
      </c>
      <c r="B78">
        <v>148</v>
      </c>
      <c r="C78">
        <v>100</v>
      </c>
      <c r="D78">
        <v>1</v>
      </c>
      <c r="E78">
        <v>18999</v>
      </c>
      <c r="F78">
        <v>18999</v>
      </c>
    </row>
    <row r="79" spans="1:6" x14ac:dyDescent="0.25">
      <c r="A79">
        <v>76</v>
      </c>
      <c r="B79">
        <v>148</v>
      </c>
      <c r="C79">
        <v>110</v>
      </c>
      <c r="D79">
        <v>1</v>
      </c>
      <c r="E79">
        <v>1199</v>
      </c>
      <c r="F79">
        <v>1199</v>
      </c>
    </row>
    <row r="80" spans="1:6" x14ac:dyDescent="0.25">
      <c r="A80">
        <v>77</v>
      </c>
      <c r="B80">
        <v>149</v>
      </c>
      <c r="C80">
        <v>103</v>
      </c>
      <c r="D80">
        <v>1</v>
      </c>
      <c r="E80">
        <v>2499</v>
      </c>
      <c r="F80">
        <v>2499</v>
      </c>
    </row>
    <row r="81" spans="1:6" x14ac:dyDescent="0.25">
      <c r="A81">
        <v>78</v>
      </c>
      <c r="B81">
        <v>149</v>
      </c>
      <c r="C81">
        <v>106</v>
      </c>
      <c r="D81">
        <v>1</v>
      </c>
      <c r="E81">
        <v>6999</v>
      </c>
      <c r="F81">
        <v>6999</v>
      </c>
    </row>
    <row r="82" spans="1:6" x14ac:dyDescent="0.25">
      <c r="A82">
        <v>79</v>
      </c>
      <c r="B82">
        <v>150</v>
      </c>
      <c r="C82">
        <v>112</v>
      </c>
      <c r="D82">
        <v>2</v>
      </c>
      <c r="E82">
        <v>8999</v>
      </c>
      <c r="F82">
        <v>17998</v>
      </c>
    </row>
    <row r="83" spans="1:6" x14ac:dyDescent="0.25">
      <c r="A83">
        <v>80</v>
      </c>
      <c r="B83">
        <v>150</v>
      </c>
      <c r="C83">
        <v>113</v>
      </c>
      <c r="D83">
        <v>1</v>
      </c>
      <c r="E83">
        <v>2199</v>
      </c>
      <c r="F83">
        <v>2199</v>
      </c>
    </row>
    <row r="84" spans="1:6" x14ac:dyDescent="0.25">
      <c r="A84">
        <v>81</v>
      </c>
      <c r="B84">
        <v>151</v>
      </c>
      <c r="C84">
        <v>104</v>
      </c>
      <c r="D84">
        <v>1</v>
      </c>
      <c r="E84">
        <v>4999</v>
      </c>
      <c r="F84">
        <v>4999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3A1E-C8F3-4AFF-96A8-4A8A25E3B4B1}">
  <dimension ref="A3:A4"/>
  <sheetViews>
    <sheetView workbookViewId="0">
      <selection activeCell="A4" sqref="A4"/>
    </sheetView>
  </sheetViews>
  <sheetFormatPr defaultRowHeight="15" x14ac:dyDescent="0.25"/>
  <cols>
    <col min="1" max="1" width="13.85546875" bestFit="1" customWidth="1"/>
    <col min="2" max="2" width="17" bestFit="1" customWidth="1"/>
  </cols>
  <sheetData>
    <row r="3" spans="1:1" x14ac:dyDescent="0.25">
      <c r="A3" t="s">
        <v>42</v>
      </c>
    </row>
    <row r="4" spans="1:1" x14ac:dyDescent="0.25">
      <c r="A4">
        <v>535305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3B11-C3AF-4D6C-A5F9-1344B311DD85}">
  <dimension ref="A1:B2"/>
  <sheetViews>
    <sheetView workbookViewId="0">
      <selection activeCell="B1" sqref="B1"/>
    </sheetView>
  </sheetViews>
  <sheetFormatPr defaultRowHeight="15" x14ac:dyDescent="0.25"/>
  <cols>
    <col min="1" max="1" width="17.28515625" bestFit="1" customWidth="1"/>
    <col min="2" max="2" width="24.140625" bestFit="1" customWidth="1"/>
  </cols>
  <sheetData>
    <row r="1" spans="1:2" x14ac:dyDescent="0.25">
      <c r="A1" t="s">
        <v>36</v>
      </c>
      <c r="B1" t="s">
        <v>43</v>
      </c>
    </row>
    <row r="2" spans="1:2" x14ac:dyDescent="0.25">
      <c r="A2">
        <v>52</v>
      </c>
      <c r="B2" s="1">
        <v>10294.326923076924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FFC7-23B4-430B-9F67-71FE6258738B}">
  <dimension ref="B4:C14"/>
  <sheetViews>
    <sheetView workbookViewId="0">
      <selection activeCell="C6" sqref="C6"/>
    </sheetView>
  </sheetViews>
  <sheetFormatPr defaultRowHeight="15" x14ac:dyDescent="0.25"/>
  <cols>
    <col min="2" max="2" width="15.7109375" bestFit="1" customWidth="1"/>
    <col min="3" max="3" width="15.5703125" bestFit="1" customWidth="1"/>
  </cols>
  <sheetData>
    <row r="4" spans="2:3" x14ac:dyDescent="0.25">
      <c r="B4" s="2" t="s">
        <v>19</v>
      </c>
      <c r="C4" t="s">
        <v>41</v>
      </c>
    </row>
    <row r="5" spans="2:3" x14ac:dyDescent="0.25">
      <c r="B5" s="3" t="s">
        <v>16</v>
      </c>
      <c r="C5" s="6">
        <v>149988</v>
      </c>
    </row>
    <row r="6" spans="2:3" x14ac:dyDescent="0.25">
      <c r="B6" s="3" t="s">
        <v>15</v>
      </c>
      <c r="C6" s="6">
        <v>132993</v>
      </c>
    </row>
    <row r="7" spans="2:3" x14ac:dyDescent="0.25">
      <c r="B7" s="3" t="s">
        <v>17</v>
      </c>
      <c r="C7" s="6">
        <v>62993</v>
      </c>
    </row>
    <row r="8" spans="2:3" x14ac:dyDescent="0.25">
      <c r="B8" s="3" t="s">
        <v>55</v>
      </c>
      <c r="C8" s="6">
        <v>48993</v>
      </c>
    </row>
    <row r="9" spans="2:3" x14ac:dyDescent="0.25">
      <c r="B9" s="3" t="s">
        <v>56</v>
      </c>
      <c r="C9" s="6">
        <v>34993</v>
      </c>
    </row>
    <row r="10" spans="2:3" x14ac:dyDescent="0.25">
      <c r="B10" s="3" t="s">
        <v>57</v>
      </c>
      <c r="C10" s="6">
        <v>26593</v>
      </c>
    </row>
    <row r="11" spans="2:3" x14ac:dyDescent="0.25">
      <c r="B11" s="3" t="s">
        <v>58</v>
      </c>
      <c r="C11" s="6">
        <v>22491</v>
      </c>
    </row>
    <row r="12" spans="2:3" x14ac:dyDescent="0.25">
      <c r="B12" s="3" t="s">
        <v>59</v>
      </c>
      <c r="C12" s="6">
        <v>17091</v>
      </c>
    </row>
    <row r="13" spans="2:3" x14ac:dyDescent="0.25">
      <c r="B13" s="3" t="s">
        <v>60</v>
      </c>
      <c r="C13" s="6">
        <v>15393</v>
      </c>
    </row>
    <row r="14" spans="2:3" x14ac:dyDescent="0.25">
      <c r="B14" s="3" t="s">
        <v>18</v>
      </c>
      <c r="C14" s="6">
        <v>511528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25C0-A9D8-41E0-8AAA-67EBFD804055}">
  <dimension ref="B2:C18"/>
  <sheetViews>
    <sheetView workbookViewId="0">
      <selection activeCell="B2" sqref="B2:C18"/>
    </sheetView>
  </sheetViews>
  <sheetFormatPr defaultRowHeight="15" x14ac:dyDescent="0.25"/>
  <cols>
    <col min="2" max="2" width="20.140625" bestFit="1" customWidth="1"/>
    <col min="3" max="3" width="22.28515625" bestFit="1" customWidth="1"/>
  </cols>
  <sheetData>
    <row r="2" spans="2:3" x14ac:dyDescent="0.25">
      <c r="B2" s="2" t="s">
        <v>20</v>
      </c>
      <c r="C2" t="s">
        <v>40</v>
      </c>
    </row>
    <row r="3" spans="2:3" x14ac:dyDescent="0.25">
      <c r="B3" s="3" t="s">
        <v>3</v>
      </c>
      <c r="C3">
        <v>95734</v>
      </c>
    </row>
    <row r="4" spans="2:3" x14ac:dyDescent="0.25">
      <c r="B4" s="3" t="s">
        <v>0</v>
      </c>
      <c r="C4">
        <v>59293</v>
      </c>
    </row>
    <row r="5" spans="2:3" x14ac:dyDescent="0.25">
      <c r="B5" s="3" t="s">
        <v>2</v>
      </c>
      <c r="C5">
        <v>51290</v>
      </c>
    </row>
    <row r="6" spans="2:3" x14ac:dyDescent="0.25">
      <c r="B6" s="3" t="s">
        <v>13</v>
      </c>
      <c r="C6">
        <v>51192</v>
      </c>
    </row>
    <row r="7" spans="2:3" x14ac:dyDescent="0.25">
      <c r="B7" s="3" t="s">
        <v>12</v>
      </c>
      <c r="C7">
        <v>40295</v>
      </c>
    </row>
    <row r="8" spans="2:3" x14ac:dyDescent="0.25">
      <c r="B8" s="3" t="s">
        <v>9</v>
      </c>
      <c r="C8">
        <v>39445</v>
      </c>
    </row>
    <row r="9" spans="2:3" x14ac:dyDescent="0.25">
      <c r="B9" s="3" t="s">
        <v>10</v>
      </c>
      <c r="C9">
        <v>37990</v>
      </c>
    </row>
    <row r="10" spans="2:3" x14ac:dyDescent="0.25">
      <c r="B10" s="3" t="s">
        <v>1</v>
      </c>
      <c r="C10">
        <v>35795</v>
      </c>
    </row>
    <row r="11" spans="2:3" x14ac:dyDescent="0.25">
      <c r="B11" s="3" t="s">
        <v>6</v>
      </c>
      <c r="C11">
        <v>34094</v>
      </c>
    </row>
    <row r="12" spans="2:3" x14ac:dyDescent="0.25">
      <c r="B12" s="3" t="s">
        <v>8</v>
      </c>
      <c r="C12">
        <v>33545</v>
      </c>
    </row>
    <row r="13" spans="2:3" x14ac:dyDescent="0.25">
      <c r="B13" s="3" t="s">
        <v>5</v>
      </c>
      <c r="C13">
        <v>25392</v>
      </c>
    </row>
    <row r="14" spans="2:3" x14ac:dyDescent="0.25">
      <c r="B14" s="3" t="s">
        <v>7</v>
      </c>
      <c r="C14">
        <v>12998</v>
      </c>
    </row>
    <row r="15" spans="2:3" x14ac:dyDescent="0.25">
      <c r="B15" s="3" t="s">
        <v>11</v>
      </c>
      <c r="C15">
        <v>11446</v>
      </c>
    </row>
    <row r="16" spans="2:3" x14ac:dyDescent="0.25">
      <c r="B16" s="3" t="s">
        <v>14</v>
      </c>
      <c r="C16">
        <v>4998</v>
      </c>
    </row>
    <row r="17" spans="2:3" x14ac:dyDescent="0.25">
      <c r="B17" s="3" t="s">
        <v>4</v>
      </c>
      <c r="C17">
        <v>1798</v>
      </c>
    </row>
    <row r="18" spans="2:3" x14ac:dyDescent="0.25">
      <c r="B18" s="3" t="s">
        <v>18</v>
      </c>
      <c r="C18">
        <v>535305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8A6D-4C21-40A6-84C5-A3AF4ACB573F}">
  <dimension ref="B2:C6"/>
  <sheetViews>
    <sheetView workbookViewId="0">
      <selection activeCell="O17" sqref="O17"/>
    </sheetView>
  </sheetViews>
  <sheetFormatPr defaultRowHeight="15" x14ac:dyDescent="0.25"/>
  <cols>
    <col min="2" max="2" width="18" bestFit="1" customWidth="1"/>
    <col min="3" max="3" width="13.7109375" bestFit="1" customWidth="1"/>
  </cols>
  <sheetData>
    <row r="2" spans="2:3" x14ac:dyDescent="0.25">
      <c r="B2" s="2" t="s">
        <v>39</v>
      </c>
      <c r="C2" t="s">
        <v>38</v>
      </c>
    </row>
    <row r="3" spans="2:3" x14ac:dyDescent="0.25">
      <c r="B3" s="3" t="s">
        <v>22</v>
      </c>
      <c r="C3">
        <v>412058</v>
      </c>
    </row>
    <row r="4" spans="2:3" x14ac:dyDescent="0.25">
      <c r="B4" s="3" t="s">
        <v>23</v>
      </c>
      <c r="C4">
        <v>102769</v>
      </c>
    </row>
    <row r="5" spans="2:3" x14ac:dyDescent="0.25">
      <c r="B5" s="3" t="s">
        <v>21</v>
      </c>
      <c r="C5">
        <v>20478</v>
      </c>
    </row>
    <row r="6" spans="2:3" x14ac:dyDescent="0.25">
      <c r="B6" s="3" t="s">
        <v>18</v>
      </c>
      <c r="C6">
        <v>535305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C2F7-A956-4094-A95A-76348964F6D0}">
  <dimension ref="B2:C12"/>
  <sheetViews>
    <sheetView workbookViewId="0">
      <selection activeCell="B9" sqref="B9"/>
    </sheetView>
  </sheetViews>
  <sheetFormatPr defaultRowHeight="15" x14ac:dyDescent="0.25"/>
  <cols>
    <col min="2" max="2" width="11.28515625" bestFit="1" customWidth="1"/>
    <col min="3" max="3" width="8.85546875" bestFit="1" customWidth="1"/>
  </cols>
  <sheetData>
    <row r="2" spans="2:3" x14ac:dyDescent="0.25">
      <c r="B2" s="2" t="s">
        <v>32</v>
      </c>
      <c r="C2" t="s">
        <v>33</v>
      </c>
    </row>
    <row r="3" spans="2:3" x14ac:dyDescent="0.25">
      <c r="B3" s="3" t="s">
        <v>34</v>
      </c>
    </row>
    <row r="4" spans="2:3" x14ac:dyDescent="0.25">
      <c r="B4" s="4" t="s">
        <v>24</v>
      </c>
      <c r="C4">
        <v>76188</v>
      </c>
    </row>
    <row r="5" spans="2:3" x14ac:dyDescent="0.25">
      <c r="B5" s="4" t="s">
        <v>25</v>
      </c>
      <c r="C5">
        <v>76087</v>
      </c>
    </row>
    <row r="6" spans="2:3" x14ac:dyDescent="0.25">
      <c r="B6" s="4" t="s">
        <v>26</v>
      </c>
      <c r="C6">
        <v>46294</v>
      </c>
    </row>
    <row r="7" spans="2:3" x14ac:dyDescent="0.25">
      <c r="B7" s="4" t="s">
        <v>27</v>
      </c>
      <c r="C7">
        <v>49689</v>
      </c>
    </row>
    <row r="8" spans="2:3" x14ac:dyDescent="0.25">
      <c r="B8" s="4" t="s">
        <v>28</v>
      </c>
      <c r="C8">
        <v>72533</v>
      </c>
    </row>
    <row r="9" spans="2:3" x14ac:dyDescent="0.25">
      <c r="B9" s="4" t="s">
        <v>29</v>
      </c>
      <c r="C9">
        <v>31595</v>
      </c>
    </row>
    <row r="10" spans="2:3" x14ac:dyDescent="0.25">
      <c r="B10" s="4" t="s">
        <v>30</v>
      </c>
      <c r="C10">
        <v>61992</v>
      </c>
    </row>
    <row r="11" spans="2:3" x14ac:dyDescent="0.25">
      <c r="B11" s="4" t="s">
        <v>31</v>
      </c>
      <c r="C11">
        <v>120927</v>
      </c>
    </row>
    <row r="12" spans="2:3" x14ac:dyDescent="0.25">
      <c r="B12" s="3" t="s">
        <v>18</v>
      </c>
      <c r="C12">
        <v>535305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720F-8997-4F42-8160-88A4939F1200}">
  <dimension ref="B2:D16"/>
  <sheetViews>
    <sheetView workbookViewId="0">
      <selection activeCell="D37" sqref="D37"/>
    </sheetView>
  </sheetViews>
  <sheetFormatPr defaultRowHeight="15" x14ac:dyDescent="0.25"/>
  <cols>
    <col min="2" max="2" width="20.140625" bestFit="1" customWidth="1"/>
    <col min="3" max="3" width="17.28515625" bestFit="1" customWidth="1"/>
    <col min="4" max="4" width="18.85546875" bestFit="1" customWidth="1"/>
  </cols>
  <sheetData>
    <row r="2" spans="2:4" x14ac:dyDescent="0.25">
      <c r="B2" s="2" t="s">
        <v>35</v>
      </c>
      <c r="C2" t="s">
        <v>36</v>
      </c>
      <c r="D2" t="s">
        <v>37</v>
      </c>
    </row>
    <row r="3" spans="2:4" x14ac:dyDescent="0.25">
      <c r="B3" s="3" t="s">
        <v>3</v>
      </c>
      <c r="C3">
        <v>7</v>
      </c>
      <c r="D3">
        <v>95734</v>
      </c>
    </row>
    <row r="4" spans="2:4" x14ac:dyDescent="0.25">
      <c r="B4" s="3" t="s">
        <v>2</v>
      </c>
      <c r="C4">
        <v>5</v>
      </c>
      <c r="D4">
        <v>51290</v>
      </c>
    </row>
    <row r="5" spans="2:4" x14ac:dyDescent="0.25">
      <c r="B5" s="3" t="s">
        <v>5</v>
      </c>
      <c r="C5">
        <v>5</v>
      </c>
      <c r="D5">
        <v>25392</v>
      </c>
    </row>
    <row r="6" spans="2:4" x14ac:dyDescent="0.25">
      <c r="B6" s="3" t="s">
        <v>6</v>
      </c>
      <c r="C6">
        <v>4</v>
      </c>
      <c r="D6">
        <v>34094</v>
      </c>
    </row>
    <row r="7" spans="2:4" x14ac:dyDescent="0.25">
      <c r="B7" s="3" t="s">
        <v>0</v>
      </c>
      <c r="C7">
        <v>4</v>
      </c>
      <c r="D7">
        <v>59293</v>
      </c>
    </row>
    <row r="8" spans="2:4" x14ac:dyDescent="0.25">
      <c r="B8" s="3" t="s">
        <v>8</v>
      </c>
      <c r="C8">
        <v>4</v>
      </c>
      <c r="D8">
        <v>33545</v>
      </c>
    </row>
    <row r="9" spans="2:4" x14ac:dyDescent="0.25">
      <c r="B9" s="3" t="s">
        <v>1</v>
      </c>
      <c r="C9">
        <v>4</v>
      </c>
      <c r="D9">
        <v>35795</v>
      </c>
    </row>
    <row r="10" spans="2:4" x14ac:dyDescent="0.25">
      <c r="B10" s="3" t="s">
        <v>13</v>
      </c>
      <c r="C10">
        <v>4</v>
      </c>
      <c r="D10">
        <v>51192</v>
      </c>
    </row>
    <row r="11" spans="2:4" x14ac:dyDescent="0.25">
      <c r="B11" s="3" t="s">
        <v>10</v>
      </c>
      <c r="C11">
        <v>4</v>
      </c>
      <c r="D11">
        <v>37990</v>
      </c>
    </row>
    <row r="12" spans="2:4" x14ac:dyDescent="0.25">
      <c r="B12" s="3" t="s">
        <v>9</v>
      </c>
      <c r="C12">
        <v>3</v>
      </c>
      <c r="D12">
        <v>39445</v>
      </c>
    </row>
    <row r="13" spans="2:4" x14ac:dyDescent="0.25">
      <c r="B13" s="3" t="s">
        <v>14</v>
      </c>
      <c r="C13">
        <v>2</v>
      </c>
      <c r="D13">
        <v>4998</v>
      </c>
    </row>
    <row r="14" spans="2:4" x14ac:dyDescent="0.25">
      <c r="B14" s="3" t="s">
        <v>12</v>
      </c>
      <c r="C14">
        <v>2</v>
      </c>
      <c r="D14">
        <v>40295</v>
      </c>
    </row>
    <row r="15" spans="2:4" x14ac:dyDescent="0.25">
      <c r="B15" s="3" t="s">
        <v>11</v>
      </c>
      <c r="C15">
        <v>2</v>
      </c>
      <c r="D15">
        <v>11446</v>
      </c>
    </row>
    <row r="16" spans="2:4" x14ac:dyDescent="0.25">
      <c r="B16" s="3" t="s">
        <v>18</v>
      </c>
      <c r="C16">
        <v>50</v>
      </c>
      <c r="D16">
        <v>520509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C16815-7F21-49C9-9283-7611448DBD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Sheet1</vt:lpstr>
      <vt:lpstr>Total Revenue</vt:lpstr>
      <vt:lpstr>Orders_AOV</vt:lpstr>
      <vt:lpstr>Top Products</vt:lpstr>
      <vt:lpstr>Top Customers</vt:lpstr>
      <vt:lpstr>Category</vt:lpstr>
      <vt:lpstr>Monthly Trend</vt:lpstr>
      <vt:lpstr>Repeat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22283725</dc:creator>
  <cp:lastModifiedBy>22283725</cp:lastModifiedBy>
  <dcterms:created xsi:type="dcterms:W3CDTF">2026-08-18T07:21:40Z</dcterms:created>
  <dcterms:modified xsi:type="dcterms:W3CDTF">2026-08-19T12:33:34Z</dcterms:modified>
</cp:coreProperties>
</file>